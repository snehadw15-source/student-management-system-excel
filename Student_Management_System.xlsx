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tabRatio="500"/>
  </bookViews>
  <sheets>
    <sheet name="Dashboard" sheetId="1" r:id="rId1"/>
    <sheet name="Grade_Scale" sheetId="2" r:id="rId2"/>
    <sheet name="pivot table" sheetId="7" r:id="rId3"/>
    <sheet name="Students_Data" sheetId="3" r:id="rId4"/>
    <sheet name="Summary" sheetId="4" r:id="rId5"/>
    <sheet name="Instructions" sheetId="5" r:id="rId6"/>
    <sheet name="README" sheetId="6" r:id="rId7"/>
  </sheets>
  <definedNames>
    <definedName name="_xlnm._FilterDatabase" localSheetId="3" hidden="1">Students_Data!$A$1:$R$61</definedName>
    <definedName name="Slicer_Class">#N/A</definedName>
    <definedName name="Slicer_Section">#N/A</definedName>
    <definedName name="Slicer_Gender">#N/A</definedName>
    <definedName name="Slicer_Fee_Status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12"/>
        <x14:slicerCache r:id="rId11"/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<sst xmlns="http://schemas.openxmlformats.org/spreadsheetml/2006/main" count="558" uniqueCount="206">
  <si>
    <t>STUDENT MANAGEMENT SYSTEM DASHBOARD</t>
  </si>
  <si>
    <t>TOTAL STUDENTS</t>
  </si>
  <si>
    <t>PASS / FAIL</t>
  </si>
  <si>
    <t>CLASS AVERAGE %</t>
  </si>
  <si>
    <t>TOP SCORER</t>
  </si>
  <si>
    <t>PENDING FEES</t>
  </si>
  <si>
    <t>Grade Distribution</t>
  </si>
  <si>
    <t>Class-wise Pass Count</t>
  </si>
  <si>
    <t>Class-wise Average Percentage</t>
  </si>
  <si>
    <t>GRADE SCALE (Lookup Table for VLOOKUP)</t>
  </si>
  <si>
    <t>Min Marks (%)</t>
  </si>
  <si>
    <t>Max Marks (%)</t>
  </si>
  <si>
    <t>Grade</t>
  </si>
  <si>
    <t>NOTE: VLOOKUP with the 4th argument TRUE (approximate match) requires the lookup column ('Min Marks %') to be sorted ascending - it is, by design, for this table.</t>
  </si>
  <si>
    <t>F</t>
  </si>
  <si>
    <t>D</t>
  </si>
  <si>
    <t>C</t>
  </si>
  <si>
    <t>B</t>
  </si>
  <si>
    <t>A</t>
  </si>
  <si>
    <t>A+</t>
  </si>
  <si>
    <t>Section</t>
  </si>
  <si>
    <t>Gender</t>
  </si>
  <si>
    <t>Class</t>
  </si>
  <si>
    <t>Count of Result</t>
  </si>
  <si>
    <t>Average of Percentage (%)</t>
  </si>
  <si>
    <t>Female</t>
  </si>
  <si>
    <t>10</t>
  </si>
  <si>
    <t>6</t>
  </si>
  <si>
    <t>7</t>
  </si>
  <si>
    <t>8</t>
  </si>
  <si>
    <t>9</t>
  </si>
  <si>
    <t>Male</t>
  </si>
  <si>
    <t>Grand Total</t>
  </si>
  <si>
    <t>Student ID</t>
  </si>
  <si>
    <t>Student Name</t>
  </si>
  <si>
    <t>Subject</t>
  </si>
  <si>
    <t>Maths</t>
  </si>
  <si>
    <t>Science</t>
  </si>
  <si>
    <t>English</t>
  </si>
  <si>
    <t>Computer</t>
  </si>
  <si>
    <t>Social Studies</t>
  </si>
  <si>
    <t>Total Marks</t>
  </si>
  <si>
    <t>Percentage (%)</t>
  </si>
  <si>
    <t>Result</t>
  </si>
  <si>
    <t>Attendance (%)</t>
  </si>
  <si>
    <t>Fee Status</t>
  </si>
  <si>
    <t>Remarks</t>
  </si>
  <si>
    <t>STU2025001</t>
  </si>
  <si>
    <t>Ananya Patel</t>
  </si>
  <si>
    <t>Science Stream</t>
  </si>
  <si>
    <t>Paid</t>
  </si>
  <si>
    <t>STU2025002</t>
  </si>
  <si>
    <t>Sneha Singh</t>
  </si>
  <si>
    <t>Arts Stream</t>
  </si>
  <si>
    <t>Pending</t>
  </si>
  <si>
    <t>STU2025003</t>
  </si>
  <si>
    <t>Vivaan Reddy</t>
  </si>
  <si>
    <t>Commerce Stream</t>
  </si>
  <si>
    <t>STU2025004</t>
  </si>
  <si>
    <t>Diya Verma</t>
  </si>
  <si>
    <t>STU2025005</t>
  </si>
  <si>
    <t>Diya Iyer</t>
  </si>
  <si>
    <t>STU2025006</t>
  </si>
  <si>
    <t>Vihaan Nair</t>
  </si>
  <si>
    <t>STU2025007</t>
  </si>
  <si>
    <t>Isha Gupta</t>
  </si>
  <si>
    <t>STU2025008</t>
  </si>
  <si>
    <t>Rohan Singh</t>
  </si>
  <si>
    <t>STU2025009</t>
  </si>
  <si>
    <t>Yash Reddy</t>
  </si>
  <si>
    <t>STU2025010</t>
  </si>
  <si>
    <t>Dev Singh</t>
  </si>
  <si>
    <t>STU2025011</t>
  </si>
  <si>
    <t>Riya Rao</t>
  </si>
  <si>
    <t>STU2025012</t>
  </si>
  <si>
    <t>Kavya Nair</t>
  </si>
  <si>
    <t>STU2025013</t>
  </si>
  <si>
    <t>Kavya Patel</t>
  </si>
  <si>
    <t>STU2025014</t>
  </si>
  <si>
    <t>Isha Singh</t>
  </si>
  <si>
    <t>STU2025015</t>
  </si>
  <si>
    <t>Riya Iyer</t>
  </si>
  <si>
    <t>STU2025016</t>
  </si>
  <si>
    <t>Arjun Nair</t>
  </si>
  <si>
    <t>STU2025017</t>
  </si>
  <si>
    <t>Kabir Reddy</t>
  </si>
  <si>
    <t>STU2025018</t>
  </si>
  <si>
    <t>STU2025019</t>
  </si>
  <si>
    <t>Reyansh Khan</t>
  </si>
  <si>
    <t>STU2025020</t>
  </si>
  <si>
    <t>Sneha Khan</t>
  </si>
  <si>
    <t>STU2025021</t>
  </si>
  <si>
    <t>Meera Gupta</t>
  </si>
  <si>
    <t>STU2025022</t>
  </si>
  <si>
    <t>Sneha Reddy</t>
  </si>
  <si>
    <t>STU2025023</t>
  </si>
  <si>
    <t>Pooja Patel</t>
  </si>
  <si>
    <t>STU2025024</t>
  </si>
  <si>
    <t>Tanvi Patel</t>
  </si>
  <si>
    <t>STU2025025</t>
  </si>
  <si>
    <t>Naina Verma</t>
  </si>
  <si>
    <t>STU2025026</t>
  </si>
  <si>
    <t>Tanvi Verma</t>
  </si>
  <si>
    <t>STU2025027</t>
  </si>
  <si>
    <t>Raj Nair</t>
  </si>
  <si>
    <t>STU2025028</t>
  </si>
  <si>
    <t>Aditya Reddy</t>
  </si>
  <si>
    <t>STU2025029</t>
  </si>
  <si>
    <t>Priya Gupta</t>
  </si>
  <si>
    <t>STU2025030</t>
  </si>
  <si>
    <t>Ananya Verma</t>
  </si>
  <si>
    <t>STU2025031</t>
  </si>
  <si>
    <t>Aadhya Verma</t>
  </si>
  <si>
    <t>STU2025032</t>
  </si>
  <si>
    <t>Neha Iyer</t>
  </si>
  <si>
    <t>STU2025033</t>
  </si>
  <si>
    <t>Ishaan Sharma</t>
  </si>
  <si>
    <t>STU2025034</t>
  </si>
  <si>
    <t>Saanvi Singh</t>
  </si>
  <si>
    <t>STU2025035</t>
  </si>
  <si>
    <t>Raj Iyer</t>
  </si>
  <si>
    <t>STU2025036</t>
  </si>
  <si>
    <t>Vivaan Sharma</t>
  </si>
  <si>
    <t>STU2025037</t>
  </si>
  <si>
    <t>Aadhya Iyer</t>
  </si>
  <si>
    <t>STU2025038</t>
  </si>
  <si>
    <t>Kabir Iyer</t>
  </si>
  <si>
    <t>STU2025039</t>
  </si>
  <si>
    <t>Sai Patel</t>
  </si>
  <si>
    <t>STU2025040</t>
  </si>
  <si>
    <t>Diya Patel</t>
  </si>
  <si>
    <t>STU2025041</t>
  </si>
  <si>
    <t>Aditya Iyer</t>
  </si>
  <si>
    <t>STU2025042</t>
  </si>
  <si>
    <t>Aditya Rao</t>
  </si>
  <si>
    <t>STU2025043</t>
  </si>
  <si>
    <t>Yash Nair</t>
  </si>
  <si>
    <t>STU2025044</t>
  </si>
  <si>
    <t>Vihaan Singh</t>
  </si>
  <si>
    <t>STU2025045</t>
  </si>
  <si>
    <t>STU2025046</t>
  </si>
  <si>
    <t>Yash Gupta</t>
  </si>
  <si>
    <t>STU2025047</t>
  </si>
  <si>
    <t>STU2025048</t>
  </si>
  <si>
    <t>Rohan Nair</t>
  </si>
  <si>
    <t>STU2025049</t>
  </si>
  <si>
    <t>Kavya Verma</t>
  </si>
  <si>
    <t>STU2025050</t>
  </si>
  <si>
    <t>STU2025051</t>
  </si>
  <si>
    <t>Aarav Gupta</t>
  </si>
  <si>
    <t>STU2025052</t>
  </si>
  <si>
    <t>Aarav Khan</t>
  </si>
  <si>
    <t>STU2025053</t>
  </si>
  <si>
    <t>Neha Rao</t>
  </si>
  <si>
    <t>STU2025054</t>
  </si>
  <si>
    <t>Krishna Iyer</t>
  </si>
  <si>
    <t>STU2025055</t>
  </si>
  <si>
    <t>Raj Singh</t>
  </si>
  <si>
    <t>STU2025056</t>
  </si>
  <si>
    <t>Ananya Iyer</t>
  </si>
  <si>
    <t>STU2025057</t>
  </si>
  <si>
    <t>STU2025058</t>
  </si>
  <si>
    <t>Sai Khan</t>
  </si>
  <si>
    <t>STU2025059</t>
  </si>
  <si>
    <t>STU2025060</t>
  </si>
  <si>
    <t>STUDENT MANAGEMENT SYSTEM - SUMMARY &amp; KPIs</t>
  </si>
  <si>
    <t>KPI METRICS</t>
  </si>
  <si>
    <t>Total Students</t>
  </si>
  <si>
    <t>Total Pass</t>
  </si>
  <si>
    <t>Total Fail</t>
  </si>
  <si>
    <t>Class Average (%)</t>
  </si>
  <si>
    <t>Pending Fees Count</t>
  </si>
  <si>
    <t>Top Scorer (Highest %)</t>
  </si>
  <si>
    <t>Top Scorer (Name)</t>
  </si>
  <si>
    <t>GRADE DISTRIBUTION</t>
  </si>
  <si>
    <t>Number of Students</t>
  </si>
  <si>
    <t>CLASS-WISE PERFORMANCE</t>
  </si>
  <si>
    <t xml:space="preserve">Average % </t>
  </si>
  <si>
    <t>Pass Count</t>
  </si>
  <si>
    <t>Total Marks (Sum)</t>
  </si>
  <si>
    <t>HOW TO COMPLETE THE PIVOT TABLE, PIVOT CHART &amp; SLICERS</t>
  </si>
  <si>
    <t>1. Click any cell inside the 'Students_Data' table.</t>
  </si>
  <si>
    <t>2. Go to Insert &gt; PivotTable &gt; New Worksheet. Name the sheet 'PivotTable'.</t>
  </si>
  <si>
    <t>3. In the PivotTable Fields pane, drag 'Class' and 'Section' to ROWS.</t>
  </si>
  <si>
    <t>4. Drag 'Percentage (%)' to VALUES and set it to Average; drag 'Result' to VALUES and set it to Count to get Pass/Fail counts.</t>
  </si>
  <si>
    <t>5. Drag 'Gender' to COLUMNS to compare performance by gender.</t>
  </si>
  <si>
    <t>6. Select the PivotTable, go to Insert &gt; PivotChart, choose Clustered Column chart.</t>
  </si>
  <si>
    <t>7. Select the PivotTable, go to Insert &gt; Slicer.</t>
  </si>
  <si>
    <t>8. Tick 'Class', 'Section', 'Gender', and 'Fee Status' to add four slicers.</t>
  </si>
  <si>
    <t>9. Resize and arrange the slicers, pivot table, and pivot chart neatly on the sheet.</t>
  </si>
  <si>
    <t>10. Click each slicer button to test interactive filtering of the chart and table.</t>
  </si>
  <si>
    <t>11. (Optional) Copy/link the PivotChart onto the 'Dashboard' sheet for a single-view report.</t>
  </si>
  <si>
    <t>STUDENT MANAGEMENT SYSTEM - PROJECT README</t>
  </si>
  <si>
    <t>PROJECT OVERVIEW</t>
  </si>
  <si>
    <t>This workbook simulates a school's student management system. It tracks student records, subject-wise marks, attendance, fee status, and academic performance, presenting key insights through an interactive dashboard.</t>
  </si>
  <si>
    <t>SHEETS IN THIS WORKBOOK</t>
  </si>
  <si>
    <t>1. Dashboard - KPI cards, charts, and overview visuals.</t>
  </si>
  <si>
    <t>2. Students_Data - 60 student records with formulas (SUM, IF, nested IF, VLOOKUP), data validation dropdowns, and conditional formatting.</t>
  </si>
  <si>
    <t>3. Grade_Scale - Lookup table used by VLOOKUP (approximate match) to assign grades.</t>
  </si>
  <si>
    <t>4. Summary - KPI calculations and COUNTIF/AVERAGEIF/COUNTIFS aggregation tables feeding the Dashboard.</t>
  </si>
  <si>
    <t>5. Instructions - Step-by-step guide to build the Pivot Table, Pivot Chart, and Slicers (must be added manually in Excel as openpyxl-generated files do not embed live pivot caches).</t>
  </si>
  <si>
    <t>HOW TO USE</t>
  </si>
  <si>
    <t>- Open the file in Microsoft Excel (desktop) for full functionality (data validation, conditional formatting, and charts are pre-built).</t>
  </si>
  <si>
    <t>- Follow the 'Instructions' sheet to add a Pivot Table, Pivot Chart, and Slicers for full interactivity - this is a quick 5-minute step in Excel's Insert menu.</t>
  </si>
  <si>
    <t>- Sort and filter 'Students_Data' using the AutoFilter arrows on row 1.</t>
  </si>
  <si>
    <t>- Edit marks/attendance in 'Students_Data' and all formulas, KPIs, and charts will recalculate automatically.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</si>
</sst>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0.0"/>
  </numFmts>
  <fonts count="30">
    <font>
      <sz val="11"/>
      <color theme="1"/>
      <name val="Calibri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2"/>
      <color rgb="FF1F4E78"/>
      <name val="Arial"/>
      <charset val="1"/>
    </font>
    <font>
      <b/>
      <sz val="11"/>
      <color rgb="FFFFFFFF"/>
      <name val="Arial"/>
      <charset val="1"/>
    </font>
    <font>
      <i/>
      <sz val="9"/>
      <color rgb="FF7F7F7F"/>
      <name val="Arial"/>
      <charset val="1"/>
    </font>
    <font>
      <b/>
      <sz val="18"/>
      <color rgb="FF1F4E78"/>
      <name val="Arial"/>
      <charset val="1"/>
    </font>
    <font>
      <b/>
      <sz val="10"/>
      <color rgb="FF595959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Border="0" applyAlignment="0" applyProtection="0"/>
    <xf numFmtId="177" fontId="9" fillId="0" borderId="0" applyBorder="0" applyAlignment="0" applyProtection="0"/>
    <xf numFmtId="9" fontId="9" fillId="0" borderId="0" applyBorder="0" applyAlignment="0" applyProtection="0"/>
    <xf numFmtId="178" fontId="9" fillId="0" borderId="0" applyBorder="0" applyAlignment="0" applyProtection="0"/>
    <xf numFmtId="179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Border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2" borderId="0" xfId="0" applyFont="1" applyFill="1" applyBorder="1"/>
    <xf numFmtId="0" fontId="2" fillId="0" borderId="1" xfId="0" applyFont="1" applyBorder="1"/>
    <xf numFmtId="1" fontId="4" fillId="0" borderId="1" xfId="0" applyNumberFormat="1" applyFont="1" applyBorder="1"/>
    <xf numFmtId="180" fontId="4" fillId="0" borderId="1" xfId="0" applyNumberFormat="1" applyFont="1" applyBorder="1"/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top" wrapText="1"/>
    </xf>
    <xf numFmtId="0" fontId="7" fillId="0" borderId="0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180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name val="Arial"/>
        <scheme val="none"/>
        <charset val="1"/>
        <family val="0"/>
        <b val="1"/>
        <color rgb="FF006100"/>
      </font>
      <fill>
        <patternFill patternType="solid">
          <bgColor rgb="FFC6EFCE"/>
        </patternFill>
      </fill>
    </dxf>
    <dxf>
      <font>
        <name val="Arial"/>
        <scheme val="none"/>
        <charset val="1"/>
        <family val="0"/>
        <b val="1"/>
        <color rgb="FF9C0006"/>
      </font>
      <fill>
        <patternFill patternType="solid">
          <bgColor rgb="FFFFC7CE"/>
        </patternFill>
      </fill>
    </dxf>
    <dxf>
      <font>
        <name val="Arial"/>
        <scheme val="none"/>
        <charset val="1"/>
        <family val="0"/>
        <b val="1"/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9C6500"/>
      <rgbColor rgb="00800080"/>
      <rgbColor rgb="00008080"/>
      <rgbColor rgb="00BFBFBF"/>
      <rgbColor rgb="007F7F7F"/>
      <rgbColor rgb="009999FF"/>
      <rgbColor rgb="00C0504D"/>
      <rgbColor rgb="00FFF2CC"/>
      <rgbColor rgb="00DDEBF7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A"/>
      <rgbColor rgb="00C6EFCE"/>
      <rgbColor rgb="00FFEB9C"/>
      <rgbColor rgb="00FCE4D6"/>
      <rgbColor rgb="00FFC7CE"/>
      <rgbColor rgb="00F9F9F9"/>
      <rgbColor rgb="00F8CBAD"/>
      <rgbColor rgb="004F81BD"/>
      <rgbColor rgb="004BACC6"/>
      <rgbColor rgb="009BBB59"/>
      <rgbColor rgb="00FFCC00"/>
      <rgbColor rgb="00F79646"/>
      <rgbColor rgb="00FF6600"/>
      <rgbColor rgb="008064A2"/>
      <rgbColor rgb="00878787"/>
      <rgbColor rgb="00003366"/>
      <rgbColor rgb="00339966"/>
      <rgbColor rgb="00003300"/>
      <rgbColor rgb="00333300"/>
      <rgbColor rgb="00993300"/>
      <rgbColor rgb="00993366"/>
      <rgbColor rgb="001F4E78"/>
      <rgbColor rgb="00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4.xml"/><Relationship Id="rId11" Type="http://schemas.microsoft.com/office/2007/relationships/slicerCache" Target="slicerCaches/slicerCache3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Grade Distribution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Summary!$B$15</c:f>
              <c:strCache>
                <c:ptCount val="1"/>
                <c:pt idx="0">
                  <c:v>Number of Students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non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chemeClr val="tx1"/>
                      </a:solidFill>
                      <a:latin typeface="Arial" panose="020B060402020202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Summary!$A$16:$A$21</c:f>
              <c:strCache>
                <c:ptCount val="6"/>
                <c:pt idx="0">
                  <c:v>A+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F</c:v>
                </c:pt>
              </c:strCache>
            </c:strRef>
          </c:cat>
          <c:val>
            <c:numRef>
              <c:f>Summary!$B$16:$B$21</c:f>
              <c:numCache>
                <c:formatCode>General</c:formatCode>
                <c:ptCount val="6"/>
                <c:pt idx="0">
                  <c:v>1</c:v>
                </c:pt>
                <c:pt idx="1">
                  <c:v>11</c:v>
                </c:pt>
                <c:pt idx="2">
                  <c:v>37</c:v>
                </c:pt>
                <c:pt idx="3">
                  <c:v>10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ff41ca-1c8d-4155-a4b7-b0b12ac54266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Pass Count by Class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Summary!$D$25</c:f>
              <c:strCache>
                <c:ptCount val="1"/>
                <c:pt idx="0">
                  <c:v>Pass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Summary!$A$26:$A$30</c:f>
              <c:strCache>
                <c:ptCount val="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strCache>
            </c:strRef>
          </c:cat>
          <c:val>
            <c:numRef>
              <c:f>Summary!$D$26:$D$30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7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27893481"/>
        <c:axId val="43713957"/>
      </c:barChart>
      <c:catAx>
        <c:axId val="278934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3713957"/>
        <c:crosses val="autoZero"/>
        <c:auto val="1"/>
        <c:lblAlgn val="ctr"/>
        <c:lblOffset val="100"/>
        <c:noMultiLvlLbl val="0"/>
      </c:catAx>
      <c:valAx>
        <c:axId val="43713957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78934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6f1330-66ba-4c9a-9514-a29a9842b8b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Average Percentage by Class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Summary!$C$25</c:f>
              <c:strCache>
                <c:ptCount val="1"/>
                <c:pt idx="0">
                  <c:v>Average % 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Summary!$A$26:$A$30</c:f>
              <c:strCache>
                <c:ptCount val="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strCache>
            </c:strRef>
          </c:cat>
          <c:val>
            <c:numRef>
              <c:f>Summary!$C$26:$C$30</c:f>
              <c:numCache>
                <c:formatCode>0.0</c:formatCode>
                <c:ptCount val="5"/>
                <c:pt idx="0">
                  <c:v>64.5384615384615</c:v>
                </c:pt>
                <c:pt idx="1">
                  <c:v>68.0769230769231</c:v>
                </c:pt>
                <c:pt idx="2">
                  <c:v>66.32</c:v>
                </c:pt>
                <c:pt idx="3">
                  <c:v>68.7166666666667</c:v>
                </c:pt>
                <c:pt idx="4">
                  <c:v>68.1833333333333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64087746"/>
        <c:axId val="35644772"/>
      </c:barChart>
      <c:catAx>
        <c:axId val="640877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5644772"/>
        <c:crosses val="autoZero"/>
        <c:auto val="1"/>
        <c:lblAlgn val="ctr"/>
        <c:lblOffset val="100"/>
        <c:noMultiLvlLbl val="0"/>
      </c:catAx>
      <c:valAx>
        <c:axId val="3564477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40877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c55c9f-1bde-461f-9d58-8ab122e0c1af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[Student_Management_System.xlsx]pivot table!PivotTable1</c:name>
    <c:fmtId val="6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table'!$D$3</c:f>
              <c:strCache>
                <c:ptCount val="1"/>
                <c:pt idx="0">
                  <c:v>Count of Result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table'!$A$4:$C$43</c:f>
              <c:multiLvlStrCache>
                <c:ptCount val="30"/>
                <c:lvl>
                  <c:pt idx="0">
                    <c:v>10</c:v>
                  </c:pt>
                  <c:pt idx="1">
                    <c:v>6</c:v>
                  </c:pt>
                  <c:pt idx="2">
                    <c:v>7</c:v>
                  </c:pt>
                  <c:pt idx="3">
                    <c:v>8</c:v>
                  </c:pt>
                  <c:pt idx="4">
                    <c:v>9</c:v>
                  </c:pt>
                  <c:pt idx="5">
                    <c:v>10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6</c:v>
                  </c:pt>
                  <c:pt idx="12">
                    <c:v>7</c:v>
                  </c:pt>
                  <c:pt idx="13">
                    <c:v>8</c:v>
                  </c:pt>
                  <c:pt idx="14">
                    <c:v>9</c:v>
                  </c:pt>
                  <c:pt idx="15">
                    <c:v>10</c:v>
                  </c:pt>
                  <c:pt idx="16">
                    <c:v>6</c:v>
                  </c:pt>
                  <c:pt idx="17">
                    <c:v>7</c:v>
                  </c:pt>
                  <c:pt idx="18">
                    <c:v>8</c:v>
                  </c:pt>
                  <c:pt idx="19">
                    <c:v>9</c:v>
                  </c:pt>
                  <c:pt idx="20">
                    <c:v>10</c:v>
                  </c:pt>
                  <c:pt idx="21">
                    <c:v>6</c:v>
                  </c:pt>
                  <c:pt idx="22">
                    <c:v>7</c:v>
                  </c:pt>
                  <c:pt idx="23">
                    <c:v>8</c:v>
                  </c:pt>
                  <c:pt idx="24">
                    <c:v>9</c:v>
                  </c:pt>
                  <c:pt idx="25">
                    <c:v>10</c:v>
                  </c:pt>
                  <c:pt idx="26">
                    <c:v>6</c:v>
                  </c:pt>
                  <c:pt idx="27">
                    <c:v>7</c:v>
                  </c:pt>
                  <c:pt idx="28">
                    <c:v>8</c:v>
                  </c:pt>
                  <c:pt idx="29">
                    <c:v>9</c:v>
                  </c:pt>
                </c:lvl>
                <c:lvl>
                  <c:pt idx="0">
                    <c:v>Female</c:v>
                  </c:pt>
                  <c:pt idx="5">
                    <c:v>Male</c:v>
                  </c:pt>
                  <c:pt idx="10">
                    <c:v>Female</c:v>
                  </c:pt>
                  <c:pt idx="15">
                    <c:v>Male</c:v>
                  </c:pt>
                  <c:pt idx="20">
                    <c:v>Female</c:v>
                  </c:pt>
                  <c:pt idx="25">
                    <c:v>Male</c:v>
                  </c:pt>
                </c:lvl>
                <c:lvl>
                  <c:pt idx="0">
                    <c:v>A</c:v>
                  </c:pt>
                  <c:pt idx="10">
                    <c:v>B</c:v>
                  </c:pt>
                  <c:pt idx="20">
                    <c:v>C</c:v>
                  </c:pt>
                </c:lvl>
              </c:multiLvlStrCache>
            </c:multiLvlStrRef>
          </c:cat>
          <c:val>
            <c:numRef>
              <c:f>'pivot table'!$D$4:$D$43</c:f>
              <c:numCache>
                <c:formatCode>General</c:formatCode>
                <c:ptCount val="3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</c:numCache>
            </c:numRef>
          </c:val>
        </c:ser>
        <c:ser>
          <c:idx val="1"/>
          <c:order val="1"/>
          <c:tx>
            <c:strRef>
              <c:f>'pivot table'!$E$3</c:f>
              <c:strCache>
                <c:ptCount val="1"/>
                <c:pt idx="0">
                  <c:v>Average of Percentage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table'!$A$4:$C$43</c:f>
              <c:multiLvlStrCache>
                <c:ptCount val="30"/>
                <c:lvl>
                  <c:pt idx="0">
                    <c:v>10</c:v>
                  </c:pt>
                  <c:pt idx="1">
                    <c:v>6</c:v>
                  </c:pt>
                  <c:pt idx="2">
                    <c:v>7</c:v>
                  </c:pt>
                  <c:pt idx="3">
                    <c:v>8</c:v>
                  </c:pt>
                  <c:pt idx="4">
                    <c:v>9</c:v>
                  </c:pt>
                  <c:pt idx="5">
                    <c:v>10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6</c:v>
                  </c:pt>
                  <c:pt idx="12">
                    <c:v>7</c:v>
                  </c:pt>
                  <c:pt idx="13">
                    <c:v>8</c:v>
                  </c:pt>
                  <c:pt idx="14">
                    <c:v>9</c:v>
                  </c:pt>
                  <c:pt idx="15">
                    <c:v>10</c:v>
                  </c:pt>
                  <c:pt idx="16">
                    <c:v>6</c:v>
                  </c:pt>
                  <c:pt idx="17">
                    <c:v>7</c:v>
                  </c:pt>
                  <c:pt idx="18">
                    <c:v>8</c:v>
                  </c:pt>
                  <c:pt idx="19">
                    <c:v>9</c:v>
                  </c:pt>
                  <c:pt idx="20">
                    <c:v>10</c:v>
                  </c:pt>
                  <c:pt idx="21">
                    <c:v>6</c:v>
                  </c:pt>
                  <c:pt idx="22">
                    <c:v>7</c:v>
                  </c:pt>
                  <c:pt idx="23">
                    <c:v>8</c:v>
                  </c:pt>
                  <c:pt idx="24">
                    <c:v>9</c:v>
                  </c:pt>
                  <c:pt idx="25">
                    <c:v>10</c:v>
                  </c:pt>
                  <c:pt idx="26">
                    <c:v>6</c:v>
                  </c:pt>
                  <c:pt idx="27">
                    <c:v>7</c:v>
                  </c:pt>
                  <c:pt idx="28">
                    <c:v>8</c:v>
                  </c:pt>
                  <c:pt idx="29">
                    <c:v>9</c:v>
                  </c:pt>
                </c:lvl>
                <c:lvl>
                  <c:pt idx="0">
                    <c:v>Female</c:v>
                  </c:pt>
                  <c:pt idx="5">
                    <c:v>Male</c:v>
                  </c:pt>
                  <c:pt idx="10">
                    <c:v>Female</c:v>
                  </c:pt>
                  <c:pt idx="15">
                    <c:v>Male</c:v>
                  </c:pt>
                  <c:pt idx="20">
                    <c:v>Female</c:v>
                  </c:pt>
                  <c:pt idx="25">
                    <c:v>Male</c:v>
                  </c:pt>
                </c:lvl>
                <c:lvl>
                  <c:pt idx="0">
                    <c:v>A</c:v>
                  </c:pt>
                  <c:pt idx="10">
                    <c:v>B</c:v>
                  </c:pt>
                  <c:pt idx="20">
                    <c:v>C</c:v>
                  </c:pt>
                </c:lvl>
              </c:multiLvlStrCache>
            </c:multiLvlStrRef>
          </c:cat>
          <c:val>
            <c:numRef>
              <c:f>'pivot table'!$E$4:$E$43</c:f>
              <c:numCache>
                <c:formatCode>General</c:formatCode>
                <c:ptCount val="30"/>
                <c:pt idx="0">
                  <c:v>65</c:v>
                </c:pt>
                <c:pt idx="1">
                  <c:v>61.6</c:v>
                </c:pt>
                <c:pt idx="2">
                  <c:v>68.9</c:v>
                </c:pt>
                <c:pt idx="3">
                  <c:v>68.9</c:v>
                </c:pt>
                <c:pt idx="4">
                  <c:v>63.6</c:v>
                </c:pt>
                <c:pt idx="5">
                  <c:v>67.15</c:v>
                </c:pt>
                <c:pt idx="6">
                  <c:v>61.6</c:v>
                </c:pt>
                <c:pt idx="7">
                  <c:v>82.4</c:v>
                </c:pt>
                <c:pt idx="8">
                  <c:v>69.4</c:v>
                </c:pt>
                <c:pt idx="9">
                  <c:v>78.2</c:v>
                </c:pt>
                <c:pt idx="10">
                  <c:v>53</c:v>
                </c:pt>
                <c:pt idx="11">
                  <c:v>66.1</c:v>
                </c:pt>
                <c:pt idx="12">
                  <c:v>69</c:v>
                </c:pt>
                <c:pt idx="13">
                  <c:v>69.3</c:v>
                </c:pt>
                <c:pt idx="14">
                  <c:v>71</c:v>
                </c:pt>
                <c:pt idx="15">
                  <c:v>69.2</c:v>
                </c:pt>
                <c:pt idx="16">
                  <c:v>57.2</c:v>
                </c:pt>
                <c:pt idx="17">
                  <c:v>66.3</c:v>
                </c:pt>
                <c:pt idx="18">
                  <c:v>63.9</c:v>
                </c:pt>
                <c:pt idx="19">
                  <c:v>72.5</c:v>
                </c:pt>
                <c:pt idx="20">
                  <c:v>85</c:v>
                </c:pt>
                <c:pt idx="21">
                  <c:v>67.7333333333333</c:v>
                </c:pt>
                <c:pt idx="22">
                  <c:v>63</c:v>
                </c:pt>
                <c:pt idx="23">
                  <c:v>54.8</c:v>
                </c:pt>
                <c:pt idx="24">
                  <c:v>71.2</c:v>
                </c:pt>
                <c:pt idx="25">
                  <c:v>71.6</c:v>
                </c:pt>
                <c:pt idx="26">
                  <c:v>71.4</c:v>
                </c:pt>
                <c:pt idx="27">
                  <c:v>68.1</c:v>
                </c:pt>
                <c:pt idx="28">
                  <c:v>67.4</c:v>
                </c:pt>
                <c:pt idx="29">
                  <c:v>63.3333333333333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63242413"/>
        <c:axId val="614170352"/>
      </c:barChart>
      <c:catAx>
        <c:axId val="4632424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170352"/>
        <c:crosses val="autoZero"/>
        <c:auto val="1"/>
        <c:lblAlgn val="ctr"/>
        <c:lblOffset val="100"/>
        <c:noMultiLvlLbl val="0"/>
      </c:catAx>
      <c:valAx>
        <c:axId val="6141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32424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2255c8-9a1f-475e-b60d-63d4f1a48c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[Student_Management_System.xlsx]pivot table!PivotTable1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table'!$D$3</c:f>
              <c:strCache>
                <c:ptCount val="1"/>
                <c:pt idx="0">
                  <c:v>Count of Result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table'!$A$4:$C$43</c:f>
              <c:multiLvlStrCache>
                <c:ptCount val="30"/>
                <c:lvl>
                  <c:pt idx="0">
                    <c:v>10</c:v>
                  </c:pt>
                  <c:pt idx="1">
                    <c:v>6</c:v>
                  </c:pt>
                  <c:pt idx="2">
                    <c:v>7</c:v>
                  </c:pt>
                  <c:pt idx="3">
                    <c:v>8</c:v>
                  </c:pt>
                  <c:pt idx="4">
                    <c:v>9</c:v>
                  </c:pt>
                  <c:pt idx="5">
                    <c:v>10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6</c:v>
                  </c:pt>
                  <c:pt idx="12">
                    <c:v>7</c:v>
                  </c:pt>
                  <c:pt idx="13">
                    <c:v>8</c:v>
                  </c:pt>
                  <c:pt idx="14">
                    <c:v>9</c:v>
                  </c:pt>
                  <c:pt idx="15">
                    <c:v>10</c:v>
                  </c:pt>
                  <c:pt idx="16">
                    <c:v>6</c:v>
                  </c:pt>
                  <c:pt idx="17">
                    <c:v>7</c:v>
                  </c:pt>
                  <c:pt idx="18">
                    <c:v>8</c:v>
                  </c:pt>
                  <c:pt idx="19">
                    <c:v>9</c:v>
                  </c:pt>
                  <c:pt idx="20">
                    <c:v>10</c:v>
                  </c:pt>
                  <c:pt idx="21">
                    <c:v>6</c:v>
                  </c:pt>
                  <c:pt idx="22">
                    <c:v>7</c:v>
                  </c:pt>
                  <c:pt idx="23">
                    <c:v>8</c:v>
                  </c:pt>
                  <c:pt idx="24">
                    <c:v>9</c:v>
                  </c:pt>
                  <c:pt idx="25">
                    <c:v>10</c:v>
                  </c:pt>
                  <c:pt idx="26">
                    <c:v>6</c:v>
                  </c:pt>
                  <c:pt idx="27">
                    <c:v>7</c:v>
                  </c:pt>
                  <c:pt idx="28">
                    <c:v>8</c:v>
                  </c:pt>
                  <c:pt idx="29">
                    <c:v>9</c:v>
                  </c:pt>
                </c:lvl>
                <c:lvl>
                  <c:pt idx="0">
                    <c:v>Female</c:v>
                  </c:pt>
                  <c:pt idx="5">
                    <c:v>Male</c:v>
                  </c:pt>
                  <c:pt idx="10">
                    <c:v>Female</c:v>
                  </c:pt>
                  <c:pt idx="15">
                    <c:v>Male</c:v>
                  </c:pt>
                  <c:pt idx="20">
                    <c:v>Female</c:v>
                  </c:pt>
                  <c:pt idx="25">
                    <c:v>Male</c:v>
                  </c:pt>
                </c:lvl>
                <c:lvl>
                  <c:pt idx="0">
                    <c:v>A</c:v>
                  </c:pt>
                  <c:pt idx="10">
                    <c:v>B</c:v>
                  </c:pt>
                  <c:pt idx="20">
                    <c:v>C</c:v>
                  </c:pt>
                </c:lvl>
              </c:multiLvlStrCache>
            </c:multiLvlStrRef>
          </c:cat>
          <c:val>
            <c:numRef>
              <c:f>'pivot table'!$D$4:$D$43</c:f>
              <c:numCache>
                <c:formatCode>General</c:formatCode>
                <c:ptCount val="3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3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</c:numCache>
            </c:numRef>
          </c:val>
        </c:ser>
        <c:ser>
          <c:idx val="1"/>
          <c:order val="1"/>
          <c:tx>
            <c:strRef>
              <c:f>'pivot table'!$E$3</c:f>
              <c:strCache>
                <c:ptCount val="1"/>
                <c:pt idx="0">
                  <c:v>Average of Percentage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'pivot table'!$A$4:$C$43</c:f>
              <c:multiLvlStrCache>
                <c:ptCount val="30"/>
                <c:lvl>
                  <c:pt idx="0">
                    <c:v>10</c:v>
                  </c:pt>
                  <c:pt idx="1">
                    <c:v>6</c:v>
                  </c:pt>
                  <c:pt idx="2">
                    <c:v>7</c:v>
                  </c:pt>
                  <c:pt idx="3">
                    <c:v>8</c:v>
                  </c:pt>
                  <c:pt idx="4">
                    <c:v>9</c:v>
                  </c:pt>
                  <c:pt idx="5">
                    <c:v>10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6</c:v>
                  </c:pt>
                  <c:pt idx="12">
                    <c:v>7</c:v>
                  </c:pt>
                  <c:pt idx="13">
                    <c:v>8</c:v>
                  </c:pt>
                  <c:pt idx="14">
                    <c:v>9</c:v>
                  </c:pt>
                  <c:pt idx="15">
                    <c:v>10</c:v>
                  </c:pt>
                  <c:pt idx="16">
                    <c:v>6</c:v>
                  </c:pt>
                  <c:pt idx="17">
                    <c:v>7</c:v>
                  </c:pt>
                  <c:pt idx="18">
                    <c:v>8</c:v>
                  </c:pt>
                  <c:pt idx="19">
                    <c:v>9</c:v>
                  </c:pt>
                  <c:pt idx="20">
                    <c:v>10</c:v>
                  </c:pt>
                  <c:pt idx="21">
                    <c:v>6</c:v>
                  </c:pt>
                  <c:pt idx="22">
                    <c:v>7</c:v>
                  </c:pt>
                  <c:pt idx="23">
                    <c:v>8</c:v>
                  </c:pt>
                  <c:pt idx="24">
                    <c:v>9</c:v>
                  </c:pt>
                  <c:pt idx="25">
                    <c:v>10</c:v>
                  </c:pt>
                  <c:pt idx="26">
                    <c:v>6</c:v>
                  </c:pt>
                  <c:pt idx="27">
                    <c:v>7</c:v>
                  </c:pt>
                  <c:pt idx="28">
                    <c:v>8</c:v>
                  </c:pt>
                  <c:pt idx="29">
                    <c:v>9</c:v>
                  </c:pt>
                </c:lvl>
                <c:lvl>
                  <c:pt idx="0">
                    <c:v>Female</c:v>
                  </c:pt>
                  <c:pt idx="5">
                    <c:v>Male</c:v>
                  </c:pt>
                  <c:pt idx="10">
                    <c:v>Female</c:v>
                  </c:pt>
                  <c:pt idx="15">
                    <c:v>Male</c:v>
                  </c:pt>
                  <c:pt idx="20">
                    <c:v>Female</c:v>
                  </c:pt>
                  <c:pt idx="25">
                    <c:v>Male</c:v>
                  </c:pt>
                </c:lvl>
                <c:lvl>
                  <c:pt idx="0">
                    <c:v>A</c:v>
                  </c:pt>
                  <c:pt idx="10">
                    <c:v>B</c:v>
                  </c:pt>
                  <c:pt idx="20">
                    <c:v>C</c:v>
                  </c:pt>
                </c:lvl>
              </c:multiLvlStrCache>
            </c:multiLvlStrRef>
          </c:cat>
          <c:val>
            <c:numRef>
              <c:f>'pivot table'!$E$4:$E$43</c:f>
              <c:numCache>
                <c:formatCode>General</c:formatCode>
                <c:ptCount val="30"/>
                <c:pt idx="0">
                  <c:v>65</c:v>
                </c:pt>
                <c:pt idx="1">
                  <c:v>61.6</c:v>
                </c:pt>
                <c:pt idx="2">
                  <c:v>68.9</c:v>
                </c:pt>
                <c:pt idx="3">
                  <c:v>68.9</c:v>
                </c:pt>
                <c:pt idx="4">
                  <c:v>63.6</c:v>
                </c:pt>
                <c:pt idx="5">
                  <c:v>67.15</c:v>
                </c:pt>
                <c:pt idx="6">
                  <c:v>61.6</c:v>
                </c:pt>
                <c:pt idx="7">
                  <c:v>82.4</c:v>
                </c:pt>
                <c:pt idx="8">
                  <c:v>69.4</c:v>
                </c:pt>
                <c:pt idx="9">
                  <c:v>78.2</c:v>
                </c:pt>
                <c:pt idx="10">
                  <c:v>53</c:v>
                </c:pt>
                <c:pt idx="11">
                  <c:v>66.1</c:v>
                </c:pt>
                <c:pt idx="12">
                  <c:v>69</c:v>
                </c:pt>
                <c:pt idx="13">
                  <c:v>69.3</c:v>
                </c:pt>
                <c:pt idx="14">
                  <c:v>71</c:v>
                </c:pt>
                <c:pt idx="15">
                  <c:v>69.2</c:v>
                </c:pt>
                <c:pt idx="16">
                  <c:v>57.2</c:v>
                </c:pt>
                <c:pt idx="17">
                  <c:v>66.3</c:v>
                </c:pt>
                <c:pt idx="18">
                  <c:v>63.9</c:v>
                </c:pt>
                <c:pt idx="19">
                  <c:v>72.5</c:v>
                </c:pt>
                <c:pt idx="20">
                  <c:v>85</c:v>
                </c:pt>
                <c:pt idx="21">
                  <c:v>67.7333333333333</c:v>
                </c:pt>
                <c:pt idx="22">
                  <c:v>63</c:v>
                </c:pt>
                <c:pt idx="23">
                  <c:v>54.8</c:v>
                </c:pt>
                <c:pt idx="24">
                  <c:v>71.2</c:v>
                </c:pt>
                <c:pt idx="25">
                  <c:v>71.6</c:v>
                </c:pt>
                <c:pt idx="26">
                  <c:v>71.4</c:v>
                </c:pt>
                <c:pt idx="27">
                  <c:v>68.1</c:v>
                </c:pt>
                <c:pt idx="28">
                  <c:v>67.4</c:v>
                </c:pt>
                <c:pt idx="29">
                  <c:v>63.3333333333333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63242413"/>
        <c:axId val="614170352"/>
      </c:barChart>
      <c:catAx>
        <c:axId val="4632424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170352"/>
        <c:crosses val="autoZero"/>
        <c:auto val="1"/>
        <c:lblAlgn val="ctr"/>
        <c:lblOffset val="100"/>
        <c:noMultiLvlLbl val="0"/>
      </c:catAx>
      <c:valAx>
        <c:axId val="6141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32424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7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8</xdr:row>
      <xdr:rowOff>41040</xdr:rowOff>
    </xdr:from>
    <xdr:to>
      <xdr:col>6</xdr:col>
      <xdr:colOff>105840</xdr:colOff>
      <xdr:row>23</xdr:row>
      <xdr:rowOff>63360</xdr:rowOff>
    </xdr:to>
    <xdr:graphicFrame>
      <xdr:nvGraphicFramePr>
        <xdr:cNvPr id="2" name="Chart 1"/>
        <xdr:cNvGraphicFramePr/>
      </xdr:nvGraphicFramePr>
      <xdr:xfrm>
        <a:off x="137160" y="1957070"/>
        <a:ext cx="4906010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41040</xdr:rowOff>
    </xdr:from>
    <xdr:to>
      <xdr:col>12</xdr:col>
      <xdr:colOff>480960</xdr:colOff>
      <xdr:row>23</xdr:row>
      <xdr:rowOff>63360</xdr:rowOff>
    </xdr:to>
    <xdr:graphicFrame>
      <xdr:nvGraphicFramePr>
        <xdr:cNvPr id="3" name="Chart 2"/>
        <xdr:cNvGraphicFramePr/>
      </xdr:nvGraphicFramePr>
      <xdr:xfrm>
        <a:off x="5897880" y="1957070"/>
        <a:ext cx="4916170" cy="2765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41400</xdr:rowOff>
    </xdr:from>
    <xdr:to>
      <xdr:col>9</xdr:col>
      <xdr:colOff>25560</xdr:colOff>
      <xdr:row>41</xdr:row>
      <xdr:rowOff>42480</xdr:rowOff>
    </xdr:to>
    <xdr:graphicFrame>
      <xdr:nvGraphicFramePr>
        <xdr:cNvPr id="4" name="Chart 3"/>
        <xdr:cNvGraphicFramePr/>
      </xdr:nvGraphicFramePr>
      <xdr:xfrm>
        <a:off x="137160" y="4883785"/>
        <a:ext cx="7706360" cy="3109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760095</xdr:colOff>
      <xdr:row>42</xdr:row>
      <xdr:rowOff>55880</xdr:rowOff>
    </xdr:from>
    <xdr:to>
      <xdr:col>8</xdr:col>
      <xdr:colOff>922655</xdr:colOff>
      <xdr:row>57</xdr:row>
      <xdr:rowOff>48260</xdr:rowOff>
    </xdr:to>
    <xdr:graphicFrame>
      <xdr:nvGraphicFramePr>
        <xdr:cNvPr id="5" name="Chart 4"/>
        <xdr:cNvGraphicFramePr/>
      </xdr:nvGraphicFramePr>
      <xdr:xfrm>
        <a:off x="2817495" y="8190230"/>
        <a:ext cx="49631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264795</xdr:colOff>
      <xdr:row>24</xdr:row>
      <xdr:rowOff>157480</xdr:rowOff>
    </xdr:from>
    <xdr:to>
      <xdr:col>11</xdr:col>
      <xdr:colOff>259715</xdr:colOff>
      <xdr:row>37</xdr:row>
      <xdr:rowOff>128905</xdr:rowOff>
    </xdr:to>
    <xdr:pic>
      <xdr:nvPicPr>
        <xdr:cNvPr id="6" name="Class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82915" y="4999990"/>
          <a:ext cx="1915160" cy="2348865"/>
        </a:xfrm>
        <a:prstGeom prst="rect">
          <a:avLst/>
        </a:prstGeom>
      </xdr:spPr>
    </xdr:pic>
    <xdr:clientData/>
  </xdr:twoCellAnchor>
  <xdr:twoCellAnchor editAs="oneCell">
    <xdr:from>
      <xdr:col>9</xdr:col>
      <xdr:colOff>276225</xdr:colOff>
      <xdr:row>39</xdr:row>
      <xdr:rowOff>28575</xdr:rowOff>
    </xdr:from>
    <xdr:to>
      <xdr:col>11</xdr:col>
      <xdr:colOff>271145</xdr:colOff>
      <xdr:row>51</xdr:row>
      <xdr:rowOff>169545</xdr:rowOff>
    </xdr:to>
    <xdr:pic>
      <xdr:nvPicPr>
        <xdr:cNvPr id="7" name="Section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094345" y="7614285"/>
          <a:ext cx="1915160" cy="2343150"/>
        </a:xfrm>
        <a:prstGeom prst="rect">
          <a:avLst/>
        </a:prstGeom>
      </xdr:spPr>
    </xdr:pic>
    <xdr:clientData/>
  </xdr:twoCellAnchor>
  <xdr:twoCellAnchor editAs="oneCell">
    <xdr:from>
      <xdr:col>9</xdr:col>
      <xdr:colOff>349250</xdr:colOff>
      <xdr:row>53</xdr:row>
      <xdr:rowOff>16510</xdr:rowOff>
    </xdr:from>
    <xdr:to>
      <xdr:col>11</xdr:col>
      <xdr:colOff>346710</xdr:colOff>
      <xdr:row>65</xdr:row>
      <xdr:rowOff>170815</xdr:rowOff>
    </xdr:to>
    <xdr:pic>
      <xdr:nvPicPr>
        <xdr:cNvPr id="8" name="Gender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167370" y="10170160"/>
          <a:ext cx="1917700" cy="2348865"/>
        </a:xfrm>
        <a:prstGeom prst="rect">
          <a:avLst/>
        </a:prstGeom>
      </xdr:spPr>
    </xdr:pic>
    <xdr:clientData/>
  </xdr:twoCellAnchor>
  <xdr:twoCellAnchor editAs="oneCell">
    <xdr:from>
      <xdr:col>9</xdr:col>
      <xdr:colOff>342900</xdr:colOff>
      <xdr:row>67</xdr:row>
      <xdr:rowOff>151765</xdr:rowOff>
    </xdr:from>
    <xdr:to>
      <xdr:col>11</xdr:col>
      <xdr:colOff>340360</xdr:colOff>
      <xdr:row>80</xdr:row>
      <xdr:rowOff>123190</xdr:rowOff>
    </xdr:to>
    <xdr:pic>
      <xdr:nvPicPr>
        <xdr:cNvPr id="9" name="Fee Status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161020" y="12865735"/>
          <a:ext cx="1917700" cy="2348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167005</xdr:colOff>
      <xdr:row>43</xdr:row>
      <xdr:rowOff>179705</xdr:rowOff>
    </xdr:from>
    <xdr:to>
      <xdr:col>4</xdr:col>
      <xdr:colOff>1434465</xdr:colOff>
      <xdr:row>58</xdr:row>
      <xdr:rowOff>179705</xdr:rowOff>
    </xdr:to>
    <xdr:graphicFrame>
      <xdr:nvGraphicFramePr>
        <xdr:cNvPr id="2" name="Chart 1"/>
        <xdr:cNvGraphicFramePr/>
      </xdr:nvGraphicFramePr>
      <xdr:xfrm>
        <a:off x="167005" y="8043545"/>
        <a:ext cx="49631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1280795</xdr:colOff>
      <xdr:row>2</xdr:row>
      <xdr:rowOff>1905</xdr:rowOff>
    </xdr:from>
    <xdr:to>
      <xdr:col>7</xdr:col>
      <xdr:colOff>46355</xdr:colOff>
      <xdr:row>14</xdr:row>
      <xdr:rowOff>182245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Clas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8135" y="36766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1290320</xdr:colOff>
      <xdr:row>16</xdr:row>
      <xdr:rowOff>50800</xdr:rowOff>
    </xdr:from>
    <xdr:to>
      <xdr:col>7</xdr:col>
      <xdr:colOff>55880</xdr:colOff>
      <xdr:row>29</xdr:row>
      <xdr:rowOff>48260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Sec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c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7660" y="297688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1363345</xdr:colOff>
      <xdr:row>30</xdr:row>
      <xdr:rowOff>51435</xdr:rowOff>
    </xdr:from>
    <xdr:to>
      <xdr:col>7</xdr:col>
      <xdr:colOff>128905</xdr:colOff>
      <xdr:row>43</xdr:row>
      <xdr:rowOff>48895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50685" y="553783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1356995</xdr:colOff>
      <xdr:row>45</xdr:row>
      <xdr:rowOff>3810</xdr:rowOff>
    </xdr:from>
    <xdr:to>
      <xdr:col>7</xdr:col>
      <xdr:colOff>122555</xdr:colOff>
      <xdr:row>58</xdr:row>
      <xdr:rowOff>1270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Fee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e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44335" y="823341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5.5377314815" refreshedBy="Sneha" recordCount="60">
  <cacheSource type="worksheet">
    <worksheetSource ref="A1:R61" sheet="Students_Data"/>
  </cacheSource>
  <cacheFields count="18">
    <cacheField name="Student ID" numFmtId="0">
      <sharedItems count="60">
        <s v="STU2025001"/>
        <s v="STU2025002"/>
        <s v="STU2025003"/>
        <s v="STU2025004"/>
        <s v="STU2025005"/>
        <s v="STU2025006"/>
        <s v="STU2025007"/>
        <s v="STU2025008"/>
        <s v="STU2025009"/>
        <s v="STU2025010"/>
        <s v="STU2025011"/>
        <s v="STU2025012"/>
        <s v="STU2025013"/>
        <s v="STU2025014"/>
        <s v="STU2025015"/>
        <s v="STU2025016"/>
        <s v="STU2025017"/>
        <s v="STU2025018"/>
        <s v="STU2025019"/>
        <s v="STU2025020"/>
        <s v="STU2025021"/>
        <s v="STU2025022"/>
        <s v="STU2025023"/>
        <s v="STU2025024"/>
        <s v="STU2025025"/>
        <s v="STU2025026"/>
        <s v="STU2025027"/>
        <s v="STU2025028"/>
        <s v="STU2025029"/>
        <s v="STU2025030"/>
        <s v="STU2025031"/>
        <s v="STU2025032"/>
        <s v="STU2025033"/>
        <s v="STU2025034"/>
        <s v="STU2025035"/>
        <s v="STU2025036"/>
        <s v="STU2025037"/>
        <s v="STU2025038"/>
        <s v="STU2025039"/>
        <s v="STU2025040"/>
        <s v="STU2025041"/>
        <s v="STU2025042"/>
        <s v="STU2025043"/>
        <s v="STU2025044"/>
        <s v="STU2025045"/>
        <s v="STU2025046"/>
        <s v="STU2025047"/>
        <s v="STU2025048"/>
        <s v="STU2025049"/>
        <s v="STU2025050"/>
        <s v="STU2025051"/>
        <s v="STU2025052"/>
        <s v="STU2025053"/>
        <s v="STU2025054"/>
        <s v="STU2025055"/>
        <s v="STU2025056"/>
        <s v="STU2025057"/>
        <s v="STU2025058"/>
        <s v="STU2025059"/>
        <s v="STU2025060"/>
      </sharedItems>
    </cacheField>
    <cacheField name="Student Name" numFmtId="0">
      <sharedItems count="53">
        <s v="Ananya Patel"/>
        <s v="Sneha Singh"/>
        <s v="Vivaan Reddy"/>
        <s v="Diya Verma"/>
        <s v="Diya Iyer"/>
        <s v="Vihaan Nair"/>
        <s v="Isha Gupta"/>
        <s v="Rohan Singh"/>
        <s v="Yash Reddy"/>
        <s v="Dev Singh"/>
        <s v="Riya Rao"/>
        <s v="Kavya Nair"/>
        <s v="Kavya Patel"/>
        <s v="Isha Singh"/>
        <s v="Riya Iyer"/>
        <s v="Arjun Nair"/>
        <s v="Kabir Reddy"/>
        <s v="Reyansh Khan"/>
        <s v="Sneha Khan"/>
        <s v="Meera Gupta"/>
        <s v="Sneha Reddy"/>
        <s v="Pooja Patel"/>
        <s v="Tanvi Patel"/>
        <s v="Naina Verma"/>
        <s v="Tanvi Verma"/>
        <s v="Raj Nair"/>
        <s v="Aditya Reddy"/>
        <s v="Priya Gupta"/>
        <s v="Ananya Verma"/>
        <s v="Aadhya Verma"/>
        <s v="Neha Iyer"/>
        <s v="Ishaan Sharma"/>
        <s v="Saanvi Singh"/>
        <s v="Raj Iyer"/>
        <s v="Vivaan Sharma"/>
        <s v="Aadhya Iyer"/>
        <s v="Kabir Iyer"/>
        <s v="Sai Patel"/>
        <s v="Diya Patel"/>
        <s v="Aditya Iyer"/>
        <s v="Aditya Rao"/>
        <s v="Yash Nair"/>
        <s v="Vihaan Singh"/>
        <s v="Yash Gupta"/>
        <s v="Rohan Nair"/>
        <s v="Kavya Verma"/>
        <s v="Aarav Gupta"/>
        <s v="Aarav Khan"/>
        <s v="Neha Rao"/>
        <s v="Krishna Iyer"/>
        <s v="Raj Singh"/>
        <s v="Ananya Iyer"/>
        <s v="Sai Khan"/>
      </sharedItems>
    </cacheField>
    <cacheField name="Class" numFmtId="0">
      <sharedItems count="5">
        <s v="9"/>
        <s v="6"/>
        <s v="10"/>
        <s v="7"/>
        <s v="8"/>
      </sharedItems>
    </cacheField>
    <cacheField name="Section" numFmtId="0">
      <sharedItems count="3">
        <s v="C"/>
        <s v="A"/>
        <s v="B"/>
      </sharedItems>
    </cacheField>
    <cacheField name="Gender" numFmtId="0">
      <sharedItems count="2">
        <s v="Male"/>
        <s v="Female"/>
      </sharedItems>
    </cacheField>
    <cacheField name="Subject" numFmtId="0">
      <sharedItems count="3">
        <s v="Science Stream"/>
        <s v="Arts Stream"/>
        <s v="Commerce Stream"/>
      </sharedItems>
    </cacheField>
    <cacheField name="Maths" numFmtId="0">
      <sharedItems containsSemiMixedTypes="0" containsString="0" containsNumber="1" containsInteger="1" minValue="35" maxValue="98" count="41">
        <n v="47"/>
        <n v="89"/>
        <n v="88"/>
        <n v="42"/>
        <n v="73"/>
        <n v="97"/>
        <n v="69"/>
        <n v="56"/>
        <n v="54"/>
        <n v="53"/>
        <n v="48"/>
        <n v="35"/>
        <n v="81"/>
        <n v="78"/>
        <n v="46"/>
        <n v="64"/>
        <n v="79"/>
        <n v="86"/>
        <n v="72"/>
        <n v="70"/>
        <n v="50"/>
        <n v="90"/>
        <n v="93"/>
        <n v="68"/>
        <n v="76"/>
        <n v="63"/>
        <n v="65"/>
        <n v="92"/>
        <n v="95"/>
        <n v="52"/>
        <n v="83"/>
        <n v="40"/>
        <n v="98"/>
        <n v="37"/>
        <n v="71"/>
        <n v="96"/>
        <n v="61"/>
        <n v="36"/>
        <n v="41"/>
        <n v="82"/>
        <n v="77"/>
      </sharedItems>
    </cacheField>
    <cacheField name="Science" numFmtId="0">
      <sharedItems containsSemiMixedTypes="0" containsString="0" containsNumber="1" containsInteger="1" minValue="40" maxValue="100" count="33">
        <n v="81"/>
        <n v="42"/>
        <n v="53"/>
        <n v="61"/>
        <n v="98"/>
        <n v="88"/>
        <n v="95"/>
        <n v="49"/>
        <n v="92"/>
        <n v="45"/>
        <n v="96"/>
        <n v="54"/>
        <n v="68"/>
        <n v="60"/>
        <n v="99"/>
        <n v="40"/>
        <n v="85"/>
        <n v="100"/>
        <n v="91"/>
        <n v="69"/>
        <n v="46"/>
        <n v="43"/>
        <n v="66"/>
        <n v="86"/>
        <n v="77"/>
        <n v="70"/>
        <n v="67"/>
        <n v="64"/>
        <n v="72"/>
        <n v="89"/>
        <n v="97"/>
        <n v="73"/>
        <n v="90"/>
      </sharedItems>
    </cacheField>
    <cacheField name="English" numFmtId="0">
      <sharedItems containsSemiMixedTypes="0" containsString="0" containsNumber="1" containsInteger="1" minValue="37" maxValue="100" count="35">
        <n v="42"/>
        <n v="50"/>
        <n v="98"/>
        <n v="78"/>
        <n v="40"/>
        <n v="43"/>
        <n v="86"/>
        <n v="57"/>
        <n v="82"/>
        <n v="47"/>
        <n v="96"/>
        <n v="81"/>
        <n v="45"/>
        <n v="55"/>
        <n v="51"/>
        <n v="65"/>
        <n v="100"/>
        <n v="91"/>
        <n v="67"/>
        <n v="37"/>
        <n v="70"/>
        <n v="68"/>
        <n v="92"/>
        <n v="79"/>
        <n v="71"/>
        <n v="76"/>
        <n v="99"/>
        <n v="38"/>
        <n v="97"/>
        <n v="44"/>
        <n v="60"/>
        <n v="74"/>
        <n v="48"/>
        <n v="41"/>
        <n v="89"/>
      </sharedItems>
    </cacheField>
    <cacheField name="Computer" numFmtId="0">
      <sharedItems containsSemiMixedTypes="0" containsString="0" containsNumber="1" containsInteger="1" minValue="37" maxValue="99" count="40">
        <n v="99"/>
        <n v="63"/>
        <n v="74"/>
        <n v="89"/>
        <n v="92"/>
        <n v="44"/>
        <n v="42"/>
        <n v="70"/>
        <n v="54"/>
        <n v="75"/>
        <n v="81"/>
        <n v="49"/>
        <n v="55"/>
        <n v="56"/>
        <n v="80"/>
        <n v="84"/>
        <n v="37"/>
        <n v="76"/>
        <n v="96"/>
        <n v="52"/>
        <n v="78"/>
        <n v="58"/>
        <n v="50"/>
        <n v="68"/>
        <n v="69"/>
        <n v="48"/>
        <n v="41"/>
        <n v="66"/>
        <n v="60"/>
        <n v="73"/>
        <n v="53"/>
        <n v="40"/>
        <n v="45"/>
        <n v="46"/>
        <n v="97"/>
        <n v="83"/>
        <n v="82"/>
        <n v="86"/>
        <n v="51"/>
        <n v="85"/>
      </sharedItems>
    </cacheField>
    <cacheField name="Social Studies" numFmtId="0">
      <sharedItems containsSemiMixedTypes="0" containsString="0" containsNumber="1" containsInteger="1" minValue="35" maxValue="100" count="47">
        <n v="62"/>
        <n v="42"/>
        <n v="58"/>
        <n v="75"/>
        <n v="71"/>
        <n v="74"/>
        <n v="52"/>
        <n v="64"/>
        <n v="51"/>
        <n v="59"/>
        <n v="38"/>
        <n v="97"/>
        <n v="37"/>
        <n v="80"/>
        <n v="48"/>
        <n v="60"/>
        <n v="36"/>
        <n v="68"/>
        <n v="100"/>
        <n v="76"/>
        <n v="92"/>
        <n v="99"/>
        <n v="44"/>
        <n v="94"/>
        <n v="88"/>
        <n v="77"/>
        <n v="69"/>
        <n v="93"/>
        <n v="41"/>
        <n v="79"/>
        <n v="90"/>
        <n v="72"/>
        <n v="39"/>
        <n v="66"/>
        <n v="73"/>
        <n v="40"/>
        <n v="35"/>
        <n v="65"/>
        <n v="53"/>
        <n v="47"/>
        <n v="95"/>
        <n v="85"/>
        <n v="43"/>
        <n v="61"/>
        <n v="56"/>
        <n v="50"/>
        <n v="87"/>
      </sharedItems>
    </cacheField>
    <cacheField name="Total Marks" numFmtId="0">
      <sharedItems containsSemiMixedTypes="0" containsString="0" containsNumber="1" containsInteger="1" minValue="239" maxValue="457" count="48">
        <n v="331"/>
        <n v="286"/>
        <n v="323"/>
        <n v="365"/>
        <n v="412"/>
        <n v="344"/>
        <n v="307"/>
        <n v="356"/>
        <n v="274"/>
        <n v="349"/>
        <n v="255"/>
        <n v="372"/>
        <n v="334"/>
        <n v="340"/>
        <n v="316"/>
        <n v="318"/>
        <n v="293"/>
        <n v="257"/>
        <n v="380"/>
        <n v="392"/>
        <n v="348"/>
        <n v="457"/>
        <n v="345"/>
        <n v="347"/>
        <n v="442"/>
        <n v="382"/>
        <n v="304"/>
        <n v="292"/>
        <n v="317"/>
        <n v="278"/>
        <n v="396"/>
        <n v="391"/>
        <n v="309"/>
        <n v="339"/>
        <n v="390"/>
        <n v="308"/>
        <n v="239"/>
        <n v="303"/>
        <n v="268"/>
        <n v="351"/>
        <n v="324"/>
        <n v="265"/>
        <n v="425"/>
        <n v="378"/>
        <n v="300"/>
        <n v="271"/>
        <n v="369"/>
        <n v="342"/>
      </sharedItems>
    </cacheField>
    <cacheField name="Percentage (%)" numFmtId="180">
      <sharedItems containsSemiMixedTypes="0" containsString="0" containsNumber="1" minValue="47.8" maxValue="91.4" count="48">
        <n v="66.2"/>
        <n v="57.2"/>
        <n v="64.6"/>
        <n v="73"/>
        <n v="82.4"/>
        <n v="68.8"/>
        <n v="61.4"/>
        <n v="71.2"/>
        <n v="54.8"/>
        <n v="69.8"/>
        <n v="51"/>
        <n v="74.4"/>
        <n v="66.8"/>
        <n v="68"/>
        <n v="63.2"/>
        <n v="63.6"/>
        <n v="58.6"/>
        <n v="51.4"/>
        <n v="76"/>
        <n v="78.4"/>
        <n v="69.6"/>
        <n v="91.4"/>
        <n v="69"/>
        <n v="69.4"/>
        <n v="88.4"/>
        <n v="76.4"/>
        <n v="60.8"/>
        <n v="58.4"/>
        <n v="63.4"/>
        <n v="55.6"/>
        <n v="79.2"/>
        <n v="78.2"/>
        <n v="61.8"/>
        <n v="67.8"/>
        <n v="78"/>
        <n v="61.6"/>
        <n v="47.8"/>
        <n v="60.6"/>
        <n v="53.6"/>
        <n v="70.2"/>
        <n v="64.8"/>
        <n v="53"/>
        <n v="85"/>
        <n v="75.6"/>
        <n v="60"/>
        <n v="54.2"/>
        <n v="73.8"/>
        <n v="68.4"/>
      </sharedItems>
    </cacheField>
    <cacheField name="Grade" numFmtId="0">
      <sharedItems count="5">
        <s v="B"/>
        <s v="C"/>
        <s v="A"/>
        <s v="A+"/>
        <s v="D"/>
      </sharedItems>
    </cacheField>
    <cacheField name="Result" numFmtId="0">
      <sharedItems count="2">
        <s v="Pass"/>
        <s v="Fail"/>
      </sharedItems>
    </cacheField>
    <cacheField name="Attendance (%)" numFmtId="0">
      <sharedItems containsSemiMixedTypes="0" containsString="0" containsNumber="1" containsInteger="1" minValue="60" maxValue="100" count="30">
        <n v="62"/>
        <n v="96"/>
        <n v="66"/>
        <n v="89"/>
        <n v="98"/>
        <n v="81"/>
        <n v="78"/>
        <n v="87"/>
        <n v="74"/>
        <n v="92"/>
        <n v="64"/>
        <n v="73"/>
        <n v="61"/>
        <n v="90"/>
        <n v="94"/>
        <n v="93"/>
        <n v="95"/>
        <n v="75"/>
        <n v="72"/>
        <n v="68"/>
        <n v="60"/>
        <n v="71"/>
        <n v="91"/>
        <n v="79"/>
        <n v="100"/>
        <n v="67"/>
        <n v="85"/>
        <n v="65"/>
        <n v="70"/>
        <n v="84"/>
      </sharedItems>
    </cacheField>
    <cacheField name="Fee Status" numFmtId="0">
      <sharedItems count="2">
        <s v="Paid"/>
        <s v="Pending"/>
      </sharedItems>
    </cacheField>
    <cacheField name="Remarks" numFmtId="0">
      <sharedItems count="5">
        <s v="Good"/>
        <s v="Average"/>
        <s v="Very Good"/>
        <s v="Needs Improvement"/>
        <s v="Excellent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1"/>
    <x v="1"/>
    <x v="1"/>
    <x v="1"/>
    <x v="1"/>
    <x v="0"/>
    <x v="1"/>
    <x v="1"/>
    <x v="1"/>
  </r>
  <r>
    <x v="2"/>
    <x v="2"/>
    <x v="1"/>
    <x v="0"/>
    <x v="0"/>
    <x v="2"/>
    <x v="2"/>
    <x v="2"/>
    <x v="1"/>
    <x v="2"/>
    <x v="2"/>
    <x v="2"/>
    <x v="2"/>
    <x v="0"/>
    <x v="0"/>
    <x v="2"/>
    <x v="0"/>
    <x v="0"/>
  </r>
  <r>
    <x v="3"/>
    <x v="3"/>
    <x v="2"/>
    <x v="0"/>
    <x v="0"/>
    <x v="1"/>
    <x v="3"/>
    <x v="3"/>
    <x v="2"/>
    <x v="3"/>
    <x v="3"/>
    <x v="3"/>
    <x v="3"/>
    <x v="0"/>
    <x v="0"/>
    <x v="3"/>
    <x v="1"/>
    <x v="0"/>
  </r>
  <r>
    <x v="4"/>
    <x v="4"/>
    <x v="3"/>
    <x v="1"/>
    <x v="0"/>
    <x v="0"/>
    <x v="4"/>
    <x v="4"/>
    <x v="3"/>
    <x v="4"/>
    <x v="4"/>
    <x v="4"/>
    <x v="4"/>
    <x v="2"/>
    <x v="0"/>
    <x v="4"/>
    <x v="0"/>
    <x v="2"/>
  </r>
  <r>
    <x v="5"/>
    <x v="5"/>
    <x v="0"/>
    <x v="1"/>
    <x v="1"/>
    <x v="0"/>
    <x v="5"/>
    <x v="5"/>
    <x v="4"/>
    <x v="5"/>
    <x v="3"/>
    <x v="5"/>
    <x v="5"/>
    <x v="0"/>
    <x v="0"/>
    <x v="5"/>
    <x v="1"/>
    <x v="0"/>
  </r>
  <r>
    <x v="6"/>
    <x v="6"/>
    <x v="2"/>
    <x v="2"/>
    <x v="0"/>
    <x v="0"/>
    <x v="6"/>
    <x v="6"/>
    <x v="5"/>
    <x v="6"/>
    <x v="5"/>
    <x v="2"/>
    <x v="2"/>
    <x v="0"/>
    <x v="0"/>
    <x v="1"/>
    <x v="1"/>
    <x v="0"/>
  </r>
  <r>
    <x v="7"/>
    <x v="7"/>
    <x v="4"/>
    <x v="1"/>
    <x v="1"/>
    <x v="2"/>
    <x v="7"/>
    <x v="7"/>
    <x v="2"/>
    <x v="6"/>
    <x v="0"/>
    <x v="6"/>
    <x v="6"/>
    <x v="0"/>
    <x v="0"/>
    <x v="6"/>
    <x v="0"/>
    <x v="0"/>
  </r>
  <r>
    <x v="8"/>
    <x v="8"/>
    <x v="0"/>
    <x v="2"/>
    <x v="1"/>
    <x v="0"/>
    <x v="7"/>
    <x v="8"/>
    <x v="6"/>
    <x v="7"/>
    <x v="6"/>
    <x v="7"/>
    <x v="7"/>
    <x v="0"/>
    <x v="0"/>
    <x v="7"/>
    <x v="1"/>
    <x v="0"/>
  </r>
  <r>
    <x v="9"/>
    <x v="9"/>
    <x v="4"/>
    <x v="0"/>
    <x v="1"/>
    <x v="0"/>
    <x v="8"/>
    <x v="9"/>
    <x v="7"/>
    <x v="8"/>
    <x v="7"/>
    <x v="8"/>
    <x v="8"/>
    <x v="1"/>
    <x v="0"/>
    <x v="8"/>
    <x v="0"/>
    <x v="1"/>
  </r>
  <r>
    <x v="10"/>
    <x v="10"/>
    <x v="3"/>
    <x v="2"/>
    <x v="1"/>
    <x v="0"/>
    <x v="9"/>
    <x v="5"/>
    <x v="8"/>
    <x v="9"/>
    <x v="8"/>
    <x v="9"/>
    <x v="9"/>
    <x v="0"/>
    <x v="0"/>
    <x v="9"/>
    <x v="0"/>
    <x v="0"/>
  </r>
  <r>
    <x v="11"/>
    <x v="11"/>
    <x v="0"/>
    <x v="2"/>
    <x v="1"/>
    <x v="2"/>
    <x v="10"/>
    <x v="10"/>
    <x v="6"/>
    <x v="6"/>
    <x v="9"/>
    <x v="0"/>
    <x v="0"/>
    <x v="0"/>
    <x v="0"/>
    <x v="10"/>
    <x v="0"/>
    <x v="0"/>
  </r>
  <r>
    <x v="12"/>
    <x v="12"/>
    <x v="1"/>
    <x v="2"/>
    <x v="0"/>
    <x v="0"/>
    <x v="11"/>
    <x v="11"/>
    <x v="9"/>
    <x v="10"/>
    <x v="10"/>
    <x v="10"/>
    <x v="10"/>
    <x v="1"/>
    <x v="1"/>
    <x v="10"/>
    <x v="0"/>
    <x v="3"/>
  </r>
  <r>
    <x v="13"/>
    <x v="13"/>
    <x v="3"/>
    <x v="0"/>
    <x v="1"/>
    <x v="2"/>
    <x v="12"/>
    <x v="6"/>
    <x v="1"/>
    <x v="11"/>
    <x v="11"/>
    <x v="11"/>
    <x v="11"/>
    <x v="0"/>
    <x v="0"/>
    <x v="3"/>
    <x v="1"/>
    <x v="0"/>
  </r>
  <r>
    <x v="14"/>
    <x v="14"/>
    <x v="1"/>
    <x v="1"/>
    <x v="0"/>
    <x v="1"/>
    <x v="13"/>
    <x v="12"/>
    <x v="10"/>
    <x v="12"/>
    <x v="12"/>
    <x v="12"/>
    <x v="12"/>
    <x v="0"/>
    <x v="1"/>
    <x v="11"/>
    <x v="1"/>
    <x v="3"/>
  </r>
  <r>
    <x v="15"/>
    <x v="15"/>
    <x v="1"/>
    <x v="0"/>
    <x v="1"/>
    <x v="1"/>
    <x v="14"/>
    <x v="12"/>
    <x v="11"/>
    <x v="13"/>
    <x v="13"/>
    <x v="0"/>
    <x v="0"/>
    <x v="0"/>
    <x v="0"/>
    <x v="8"/>
    <x v="1"/>
    <x v="0"/>
  </r>
  <r>
    <x v="16"/>
    <x v="16"/>
    <x v="2"/>
    <x v="1"/>
    <x v="0"/>
    <x v="2"/>
    <x v="15"/>
    <x v="13"/>
    <x v="2"/>
    <x v="14"/>
    <x v="10"/>
    <x v="13"/>
    <x v="13"/>
    <x v="0"/>
    <x v="1"/>
    <x v="12"/>
    <x v="1"/>
    <x v="3"/>
  </r>
  <r>
    <x v="17"/>
    <x v="14"/>
    <x v="3"/>
    <x v="0"/>
    <x v="1"/>
    <x v="2"/>
    <x v="16"/>
    <x v="0"/>
    <x v="12"/>
    <x v="1"/>
    <x v="14"/>
    <x v="14"/>
    <x v="14"/>
    <x v="0"/>
    <x v="0"/>
    <x v="8"/>
    <x v="1"/>
    <x v="0"/>
  </r>
  <r>
    <x v="18"/>
    <x v="17"/>
    <x v="3"/>
    <x v="2"/>
    <x v="0"/>
    <x v="2"/>
    <x v="16"/>
    <x v="9"/>
    <x v="1"/>
    <x v="15"/>
    <x v="15"/>
    <x v="15"/>
    <x v="15"/>
    <x v="0"/>
    <x v="0"/>
    <x v="13"/>
    <x v="0"/>
    <x v="0"/>
  </r>
  <r>
    <x v="19"/>
    <x v="18"/>
    <x v="1"/>
    <x v="0"/>
    <x v="1"/>
    <x v="2"/>
    <x v="17"/>
    <x v="9"/>
    <x v="13"/>
    <x v="13"/>
    <x v="8"/>
    <x v="16"/>
    <x v="16"/>
    <x v="1"/>
    <x v="0"/>
    <x v="12"/>
    <x v="0"/>
    <x v="1"/>
  </r>
  <r>
    <x v="20"/>
    <x v="19"/>
    <x v="3"/>
    <x v="0"/>
    <x v="1"/>
    <x v="1"/>
    <x v="16"/>
    <x v="11"/>
    <x v="14"/>
    <x v="16"/>
    <x v="16"/>
    <x v="17"/>
    <x v="17"/>
    <x v="1"/>
    <x v="1"/>
    <x v="2"/>
    <x v="0"/>
    <x v="3"/>
  </r>
  <r>
    <x v="21"/>
    <x v="20"/>
    <x v="3"/>
    <x v="1"/>
    <x v="1"/>
    <x v="0"/>
    <x v="18"/>
    <x v="14"/>
    <x v="15"/>
    <x v="17"/>
    <x v="17"/>
    <x v="18"/>
    <x v="18"/>
    <x v="2"/>
    <x v="0"/>
    <x v="14"/>
    <x v="1"/>
    <x v="2"/>
  </r>
  <r>
    <x v="22"/>
    <x v="21"/>
    <x v="1"/>
    <x v="0"/>
    <x v="1"/>
    <x v="2"/>
    <x v="2"/>
    <x v="14"/>
    <x v="14"/>
    <x v="8"/>
    <x v="18"/>
    <x v="19"/>
    <x v="19"/>
    <x v="2"/>
    <x v="0"/>
    <x v="12"/>
    <x v="1"/>
    <x v="2"/>
  </r>
  <r>
    <x v="23"/>
    <x v="22"/>
    <x v="2"/>
    <x v="1"/>
    <x v="0"/>
    <x v="0"/>
    <x v="9"/>
    <x v="6"/>
    <x v="1"/>
    <x v="6"/>
    <x v="19"/>
    <x v="14"/>
    <x v="14"/>
    <x v="0"/>
    <x v="0"/>
    <x v="15"/>
    <x v="1"/>
    <x v="0"/>
  </r>
  <r>
    <x v="24"/>
    <x v="23"/>
    <x v="2"/>
    <x v="1"/>
    <x v="0"/>
    <x v="0"/>
    <x v="19"/>
    <x v="15"/>
    <x v="9"/>
    <x v="0"/>
    <x v="20"/>
    <x v="20"/>
    <x v="20"/>
    <x v="0"/>
    <x v="0"/>
    <x v="16"/>
    <x v="0"/>
    <x v="0"/>
  </r>
  <r>
    <x v="25"/>
    <x v="24"/>
    <x v="0"/>
    <x v="2"/>
    <x v="0"/>
    <x v="1"/>
    <x v="19"/>
    <x v="8"/>
    <x v="16"/>
    <x v="18"/>
    <x v="21"/>
    <x v="21"/>
    <x v="21"/>
    <x v="3"/>
    <x v="0"/>
    <x v="17"/>
    <x v="1"/>
    <x v="4"/>
  </r>
  <r>
    <x v="26"/>
    <x v="25"/>
    <x v="3"/>
    <x v="2"/>
    <x v="0"/>
    <x v="2"/>
    <x v="20"/>
    <x v="16"/>
    <x v="17"/>
    <x v="9"/>
    <x v="22"/>
    <x v="22"/>
    <x v="22"/>
    <x v="0"/>
    <x v="0"/>
    <x v="17"/>
    <x v="1"/>
    <x v="0"/>
  </r>
  <r>
    <x v="27"/>
    <x v="26"/>
    <x v="4"/>
    <x v="1"/>
    <x v="0"/>
    <x v="1"/>
    <x v="12"/>
    <x v="2"/>
    <x v="18"/>
    <x v="19"/>
    <x v="23"/>
    <x v="23"/>
    <x v="23"/>
    <x v="0"/>
    <x v="0"/>
    <x v="8"/>
    <x v="0"/>
    <x v="0"/>
  </r>
  <r>
    <x v="28"/>
    <x v="27"/>
    <x v="3"/>
    <x v="0"/>
    <x v="0"/>
    <x v="0"/>
    <x v="21"/>
    <x v="17"/>
    <x v="6"/>
    <x v="20"/>
    <x v="24"/>
    <x v="24"/>
    <x v="24"/>
    <x v="2"/>
    <x v="0"/>
    <x v="18"/>
    <x v="1"/>
    <x v="2"/>
  </r>
  <r>
    <x v="29"/>
    <x v="28"/>
    <x v="4"/>
    <x v="1"/>
    <x v="1"/>
    <x v="1"/>
    <x v="22"/>
    <x v="18"/>
    <x v="19"/>
    <x v="15"/>
    <x v="25"/>
    <x v="25"/>
    <x v="25"/>
    <x v="2"/>
    <x v="1"/>
    <x v="15"/>
    <x v="1"/>
    <x v="3"/>
  </r>
  <r>
    <x v="30"/>
    <x v="29"/>
    <x v="1"/>
    <x v="1"/>
    <x v="0"/>
    <x v="0"/>
    <x v="23"/>
    <x v="19"/>
    <x v="4"/>
    <x v="21"/>
    <x v="26"/>
    <x v="26"/>
    <x v="26"/>
    <x v="0"/>
    <x v="0"/>
    <x v="19"/>
    <x v="1"/>
    <x v="0"/>
  </r>
  <r>
    <x v="31"/>
    <x v="30"/>
    <x v="0"/>
    <x v="1"/>
    <x v="1"/>
    <x v="1"/>
    <x v="24"/>
    <x v="20"/>
    <x v="20"/>
    <x v="6"/>
    <x v="2"/>
    <x v="27"/>
    <x v="27"/>
    <x v="1"/>
    <x v="0"/>
    <x v="7"/>
    <x v="0"/>
    <x v="1"/>
  </r>
  <r>
    <x v="32"/>
    <x v="31"/>
    <x v="1"/>
    <x v="2"/>
    <x v="0"/>
    <x v="1"/>
    <x v="25"/>
    <x v="21"/>
    <x v="21"/>
    <x v="22"/>
    <x v="27"/>
    <x v="28"/>
    <x v="28"/>
    <x v="0"/>
    <x v="0"/>
    <x v="20"/>
    <x v="1"/>
    <x v="0"/>
  </r>
  <r>
    <x v="33"/>
    <x v="32"/>
    <x v="4"/>
    <x v="0"/>
    <x v="0"/>
    <x v="0"/>
    <x v="26"/>
    <x v="7"/>
    <x v="13"/>
    <x v="23"/>
    <x v="28"/>
    <x v="29"/>
    <x v="29"/>
    <x v="1"/>
    <x v="0"/>
    <x v="21"/>
    <x v="0"/>
    <x v="1"/>
  </r>
  <r>
    <x v="34"/>
    <x v="33"/>
    <x v="4"/>
    <x v="0"/>
    <x v="0"/>
    <x v="2"/>
    <x v="27"/>
    <x v="14"/>
    <x v="7"/>
    <x v="24"/>
    <x v="29"/>
    <x v="30"/>
    <x v="30"/>
    <x v="2"/>
    <x v="0"/>
    <x v="12"/>
    <x v="1"/>
    <x v="2"/>
  </r>
  <r>
    <x v="35"/>
    <x v="34"/>
    <x v="1"/>
    <x v="0"/>
    <x v="0"/>
    <x v="1"/>
    <x v="28"/>
    <x v="22"/>
    <x v="22"/>
    <x v="25"/>
    <x v="30"/>
    <x v="31"/>
    <x v="31"/>
    <x v="2"/>
    <x v="0"/>
    <x v="22"/>
    <x v="1"/>
    <x v="2"/>
  </r>
  <r>
    <x v="36"/>
    <x v="35"/>
    <x v="3"/>
    <x v="1"/>
    <x v="1"/>
    <x v="0"/>
    <x v="29"/>
    <x v="23"/>
    <x v="23"/>
    <x v="26"/>
    <x v="8"/>
    <x v="32"/>
    <x v="32"/>
    <x v="0"/>
    <x v="0"/>
    <x v="20"/>
    <x v="0"/>
    <x v="0"/>
  </r>
  <r>
    <x v="37"/>
    <x v="36"/>
    <x v="0"/>
    <x v="1"/>
    <x v="0"/>
    <x v="0"/>
    <x v="30"/>
    <x v="14"/>
    <x v="24"/>
    <x v="27"/>
    <x v="31"/>
    <x v="31"/>
    <x v="31"/>
    <x v="2"/>
    <x v="0"/>
    <x v="0"/>
    <x v="1"/>
    <x v="2"/>
  </r>
  <r>
    <x v="38"/>
    <x v="37"/>
    <x v="4"/>
    <x v="2"/>
    <x v="0"/>
    <x v="2"/>
    <x v="12"/>
    <x v="24"/>
    <x v="25"/>
    <x v="27"/>
    <x v="32"/>
    <x v="33"/>
    <x v="33"/>
    <x v="0"/>
    <x v="1"/>
    <x v="23"/>
    <x v="0"/>
    <x v="3"/>
  </r>
  <r>
    <x v="39"/>
    <x v="38"/>
    <x v="1"/>
    <x v="2"/>
    <x v="1"/>
    <x v="0"/>
    <x v="28"/>
    <x v="25"/>
    <x v="26"/>
    <x v="28"/>
    <x v="33"/>
    <x v="34"/>
    <x v="34"/>
    <x v="2"/>
    <x v="0"/>
    <x v="9"/>
    <x v="0"/>
    <x v="2"/>
  </r>
  <r>
    <x v="40"/>
    <x v="39"/>
    <x v="1"/>
    <x v="1"/>
    <x v="1"/>
    <x v="1"/>
    <x v="31"/>
    <x v="16"/>
    <x v="19"/>
    <x v="29"/>
    <x v="34"/>
    <x v="35"/>
    <x v="35"/>
    <x v="0"/>
    <x v="1"/>
    <x v="24"/>
    <x v="0"/>
    <x v="3"/>
  </r>
  <r>
    <x v="41"/>
    <x v="40"/>
    <x v="2"/>
    <x v="1"/>
    <x v="1"/>
    <x v="2"/>
    <x v="32"/>
    <x v="11"/>
    <x v="24"/>
    <x v="30"/>
    <x v="35"/>
    <x v="14"/>
    <x v="14"/>
    <x v="0"/>
    <x v="0"/>
    <x v="9"/>
    <x v="1"/>
    <x v="0"/>
  </r>
  <r>
    <x v="42"/>
    <x v="41"/>
    <x v="3"/>
    <x v="0"/>
    <x v="0"/>
    <x v="1"/>
    <x v="15"/>
    <x v="9"/>
    <x v="27"/>
    <x v="31"/>
    <x v="6"/>
    <x v="36"/>
    <x v="36"/>
    <x v="4"/>
    <x v="1"/>
    <x v="24"/>
    <x v="1"/>
    <x v="3"/>
  </r>
  <r>
    <x v="43"/>
    <x v="42"/>
    <x v="0"/>
    <x v="0"/>
    <x v="0"/>
    <x v="1"/>
    <x v="33"/>
    <x v="22"/>
    <x v="28"/>
    <x v="23"/>
    <x v="36"/>
    <x v="37"/>
    <x v="37"/>
    <x v="0"/>
    <x v="1"/>
    <x v="3"/>
    <x v="0"/>
    <x v="3"/>
  </r>
  <r>
    <x v="44"/>
    <x v="41"/>
    <x v="2"/>
    <x v="1"/>
    <x v="0"/>
    <x v="1"/>
    <x v="28"/>
    <x v="26"/>
    <x v="29"/>
    <x v="23"/>
    <x v="37"/>
    <x v="33"/>
    <x v="33"/>
    <x v="0"/>
    <x v="0"/>
    <x v="11"/>
    <x v="0"/>
    <x v="0"/>
  </r>
  <r>
    <x v="45"/>
    <x v="43"/>
    <x v="0"/>
    <x v="2"/>
    <x v="0"/>
    <x v="2"/>
    <x v="34"/>
    <x v="15"/>
    <x v="30"/>
    <x v="5"/>
    <x v="38"/>
    <x v="38"/>
    <x v="38"/>
    <x v="1"/>
    <x v="0"/>
    <x v="5"/>
    <x v="1"/>
    <x v="1"/>
  </r>
  <r>
    <x v="46"/>
    <x v="36"/>
    <x v="2"/>
    <x v="0"/>
    <x v="0"/>
    <x v="0"/>
    <x v="35"/>
    <x v="1"/>
    <x v="28"/>
    <x v="24"/>
    <x v="39"/>
    <x v="39"/>
    <x v="39"/>
    <x v="0"/>
    <x v="0"/>
    <x v="11"/>
    <x v="1"/>
    <x v="0"/>
  </r>
  <r>
    <x v="47"/>
    <x v="44"/>
    <x v="4"/>
    <x v="2"/>
    <x v="1"/>
    <x v="2"/>
    <x v="20"/>
    <x v="13"/>
    <x v="31"/>
    <x v="32"/>
    <x v="40"/>
    <x v="40"/>
    <x v="40"/>
    <x v="0"/>
    <x v="0"/>
    <x v="12"/>
    <x v="1"/>
    <x v="0"/>
  </r>
  <r>
    <x v="48"/>
    <x v="45"/>
    <x v="2"/>
    <x v="2"/>
    <x v="1"/>
    <x v="2"/>
    <x v="36"/>
    <x v="3"/>
    <x v="29"/>
    <x v="33"/>
    <x v="38"/>
    <x v="41"/>
    <x v="41"/>
    <x v="1"/>
    <x v="0"/>
    <x v="15"/>
    <x v="1"/>
    <x v="1"/>
  </r>
  <r>
    <x v="49"/>
    <x v="38"/>
    <x v="2"/>
    <x v="0"/>
    <x v="1"/>
    <x v="0"/>
    <x v="12"/>
    <x v="27"/>
    <x v="2"/>
    <x v="34"/>
    <x v="41"/>
    <x v="42"/>
    <x v="42"/>
    <x v="2"/>
    <x v="0"/>
    <x v="12"/>
    <x v="0"/>
    <x v="2"/>
  </r>
  <r>
    <x v="50"/>
    <x v="46"/>
    <x v="0"/>
    <x v="2"/>
    <x v="1"/>
    <x v="1"/>
    <x v="9"/>
    <x v="5"/>
    <x v="23"/>
    <x v="35"/>
    <x v="3"/>
    <x v="43"/>
    <x v="43"/>
    <x v="2"/>
    <x v="0"/>
    <x v="25"/>
    <x v="1"/>
    <x v="2"/>
  </r>
  <r>
    <x v="51"/>
    <x v="47"/>
    <x v="4"/>
    <x v="2"/>
    <x v="0"/>
    <x v="0"/>
    <x v="37"/>
    <x v="28"/>
    <x v="18"/>
    <x v="36"/>
    <x v="42"/>
    <x v="44"/>
    <x v="44"/>
    <x v="0"/>
    <x v="1"/>
    <x v="26"/>
    <x v="1"/>
    <x v="3"/>
  </r>
  <r>
    <x v="52"/>
    <x v="48"/>
    <x v="1"/>
    <x v="2"/>
    <x v="1"/>
    <x v="2"/>
    <x v="38"/>
    <x v="25"/>
    <x v="32"/>
    <x v="26"/>
    <x v="4"/>
    <x v="45"/>
    <x v="45"/>
    <x v="1"/>
    <x v="0"/>
    <x v="24"/>
    <x v="0"/>
    <x v="1"/>
  </r>
  <r>
    <x v="53"/>
    <x v="49"/>
    <x v="0"/>
    <x v="0"/>
    <x v="1"/>
    <x v="0"/>
    <x v="39"/>
    <x v="29"/>
    <x v="27"/>
    <x v="37"/>
    <x v="43"/>
    <x v="7"/>
    <x v="7"/>
    <x v="0"/>
    <x v="1"/>
    <x v="27"/>
    <x v="0"/>
    <x v="3"/>
  </r>
  <r>
    <x v="54"/>
    <x v="50"/>
    <x v="0"/>
    <x v="0"/>
    <x v="0"/>
    <x v="1"/>
    <x v="34"/>
    <x v="30"/>
    <x v="33"/>
    <x v="38"/>
    <x v="44"/>
    <x v="14"/>
    <x v="14"/>
    <x v="0"/>
    <x v="0"/>
    <x v="13"/>
    <x v="1"/>
    <x v="0"/>
  </r>
  <r>
    <x v="55"/>
    <x v="51"/>
    <x v="4"/>
    <x v="2"/>
    <x v="1"/>
    <x v="2"/>
    <x v="26"/>
    <x v="31"/>
    <x v="10"/>
    <x v="39"/>
    <x v="45"/>
    <x v="46"/>
    <x v="46"/>
    <x v="0"/>
    <x v="0"/>
    <x v="28"/>
    <x v="0"/>
    <x v="0"/>
  </r>
  <r>
    <x v="56"/>
    <x v="26"/>
    <x v="2"/>
    <x v="2"/>
    <x v="0"/>
    <x v="2"/>
    <x v="40"/>
    <x v="8"/>
    <x v="34"/>
    <x v="19"/>
    <x v="9"/>
    <x v="46"/>
    <x v="46"/>
    <x v="0"/>
    <x v="0"/>
    <x v="17"/>
    <x v="0"/>
    <x v="0"/>
  </r>
  <r>
    <x v="57"/>
    <x v="52"/>
    <x v="2"/>
    <x v="1"/>
    <x v="1"/>
    <x v="0"/>
    <x v="39"/>
    <x v="12"/>
    <x v="30"/>
    <x v="16"/>
    <x v="46"/>
    <x v="12"/>
    <x v="12"/>
    <x v="0"/>
    <x v="1"/>
    <x v="29"/>
    <x v="1"/>
    <x v="3"/>
  </r>
  <r>
    <x v="58"/>
    <x v="41"/>
    <x v="3"/>
    <x v="2"/>
    <x v="1"/>
    <x v="2"/>
    <x v="3"/>
    <x v="4"/>
    <x v="20"/>
    <x v="10"/>
    <x v="8"/>
    <x v="47"/>
    <x v="47"/>
    <x v="0"/>
    <x v="0"/>
    <x v="9"/>
    <x v="0"/>
    <x v="0"/>
  </r>
  <r>
    <x v="59"/>
    <x v="39"/>
    <x v="3"/>
    <x v="2"/>
    <x v="1"/>
    <x v="1"/>
    <x v="27"/>
    <x v="32"/>
    <x v="31"/>
    <x v="16"/>
    <x v="8"/>
    <x v="5"/>
    <x v="5"/>
    <x v="0"/>
    <x v="1"/>
    <x v="0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3:E43" firstHeaderRow="0" firstDataRow="1" firstDataCol="3"/>
  <pivotFields count="18">
    <pivotField compact="0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showAll="0">
      <items count="54">
        <item x="35"/>
        <item x="29"/>
        <item x="46"/>
        <item x="47"/>
        <item x="39"/>
        <item x="40"/>
        <item x="26"/>
        <item x="51"/>
        <item x="0"/>
        <item x="28"/>
        <item x="15"/>
        <item x="9"/>
        <item x="4"/>
        <item x="38"/>
        <item x="3"/>
        <item x="6"/>
        <item x="13"/>
        <item x="31"/>
        <item x="36"/>
        <item x="16"/>
        <item x="11"/>
        <item x="12"/>
        <item x="45"/>
        <item x="49"/>
        <item x="19"/>
        <item x="23"/>
        <item x="30"/>
        <item x="48"/>
        <item x="21"/>
        <item x="27"/>
        <item x="33"/>
        <item x="25"/>
        <item x="50"/>
        <item x="17"/>
        <item x="14"/>
        <item x="10"/>
        <item x="44"/>
        <item x="7"/>
        <item x="32"/>
        <item x="52"/>
        <item x="37"/>
        <item x="18"/>
        <item x="20"/>
        <item x="1"/>
        <item x="22"/>
        <item x="24"/>
        <item x="5"/>
        <item x="42"/>
        <item x="2"/>
        <item x="34"/>
        <item x="43"/>
        <item x="41"/>
        <item x="8"/>
        <item t="default"/>
      </items>
    </pivotField>
    <pivotField axis="axisRow" compact="0" showAll="0">
      <items count="6">
        <item x="2"/>
        <item x="1"/>
        <item x="3"/>
        <item x="4"/>
        <item x="0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42">
        <item x="11"/>
        <item x="37"/>
        <item x="33"/>
        <item x="31"/>
        <item x="38"/>
        <item x="3"/>
        <item x="14"/>
        <item x="0"/>
        <item x="10"/>
        <item x="20"/>
        <item x="29"/>
        <item x="9"/>
        <item x="8"/>
        <item x="7"/>
        <item x="36"/>
        <item x="25"/>
        <item x="15"/>
        <item x="26"/>
        <item x="23"/>
        <item x="6"/>
        <item x="19"/>
        <item x="34"/>
        <item x="18"/>
        <item x="4"/>
        <item x="24"/>
        <item x="40"/>
        <item x="13"/>
        <item x="16"/>
        <item x="12"/>
        <item x="39"/>
        <item x="30"/>
        <item x="17"/>
        <item x="2"/>
        <item x="1"/>
        <item x="21"/>
        <item x="27"/>
        <item x="22"/>
        <item x="28"/>
        <item x="35"/>
        <item x="5"/>
        <item x="32"/>
        <item t="default"/>
      </items>
    </pivotField>
    <pivotField compact="0" showAll="0">
      <items count="34">
        <item x="15"/>
        <item x="1"/>
        <item x="21"/>
        <item x="9"/>
        <item x="20"/>
        <item x="7"/>
        <item x="2"/>
        <item x="11"/>
        <item x="13"/>
        <item x="3"/>
        <item x="27"/>
        <item x="22"/>
        <item x="26"/>
        <item x="12"/>
        <item x="19"/>
        <item x="25"/>
        <item x="28"/>
        <item x="31"/>
        <item x="24"/>
        <item x="0"/>
        <item x="16"/>
        <item x="23"/>
        <item x="5"/>
        <item x="29"/>
        <item x="32"/>
        <item x="18"/>
        <item x="8"/>
        <item x="6"/>
        <item x="10"/>
        <item x="30"/>
        <item x="4"/>
        <item x="14"/>
        <item x="17"/>
        <item t="default"/>
      </items>
    </pivotField>
    <pivotField compact="0" showAll="0">
      <items count="36">
        <item x="19"/>
        <item x="27"/>
        <item x="4"/>
        <item x="33"/>
        <item x="0"/>
        <item x="5"/>
        <item x="29"/>
        <item x="12"/>
        <item x="9"/>
        <item x="32"/>
        <item x="1"/>
        <item x="14"/>
        <item x="13"/>
        <item x="7"/>
        <item x="30"/>
        <item x="15"/>
        <item x="18"/>
        <item x="21"/>
        <item x="20"/>
        <item x="24"/>
        <item x="31"/>
        <item x="25"/>
        <item x="3"/>
        <item x="23"/>
        <item x="11"/>
        <item x="8"/>
        <item x="6"/>
        <item x="34"/>
        <item x="17"/>
        <item x="22"/>
        <item x="10"/>
        <item x="28"/>
        <item x="2"/>
        <item x="26"/>
        <item x="16"/>
        <item t="default"/>
      </items>
    </pivotField>
    <pivotField compact="0" showAll="0">
      <items count="41">
        <item x="16"/>
        <item x="31"/>
        <item x="26"/>
        <item x="6"/>
        <item x="5"/>
        <item x="32"/>
        <item x="33"/>
        <item x="25"/>
        <item x="11"/>
        <item x="22"/>
        <item x="38"/>
        <item x="19"/>
        <item x="30"/>
        <item x="8"/>
        <item x="12"/>
        <item x="13"/>
        <item x="21"/>
        <item x="28"/>
        <item x="1"/>
        <item x="27"/>
        <item x="23"/>
        <item x="24"/>
        <item x="7"/>
        <item x="29"/>
        <item x="2"/>
        <item x="9"/>
        <item x="17"/>
        <item x="20"/>
        <item x="14"/>
        <item x="10"/>
        <item x="36"/>
        <item x="35"/>
        <item x="15"/>
        <item x="39"/>
        <item x="37"/>
        <item x="3"/>
        <item x="4"/>
        <item x="18"/>
        <item x="34"/>
        <item x="0"/>
        <item t="default"/>
      </items>
    </pivotField>
    <pivotField compact="0" showAll="0">
      <items count="48">
        <item x="36"/>
        <item x="16"/>
        <item x="12"/>
        <item x="10"/>
        <item x="32"/>
        <item x="35"/>
        <item x="28"/>
        <item x="1"/>
        <item x="42"/>
        <item x="22"/>
        <item x="39"/>
        <item x="14"/>
        <item x="45"/>
        <item x="8"/>
        <item x="6"/>
        <item x="38"/>
        <item x="44"/>
        <item x="2"/>
        <item x="9"/>
        <item x="15"/>
        <item x="43"/>
        <item x="0"/>
        <item x="7"/>
        <item x="37"/>
        <item x="33"/>
        <item x="17"/>
        <item x="26"/>
        <item x="4"/>
        <item x="31"/>
        <item x="34"/>
        <item x="5"/>
        <item x="3"/>
        <item x="19"/>
        <item x="25"/>
        <item x="29"/>
        <item x="13"/>
        <item x="41"/>
        <item x="46"/>
        <item x="24"/>
        <item x="30"/>
        <item x="20"/>
        <item x="27"/>
        <item x="23"/>
        <item x="40"/>
        <item x="11"/>
        <item x="21"/>
        <item x="18"/>
        <item t="default"/>
      </items>
    </pivotField>
    <pivotField compact="0" showAll="0">
      <items count="49">
        <item x="36"/>
        <item x="10"/>
        <item x="17"/>
        <item x="41"/>
        <item x="38"/>
        <item x="45"/>
        <item x="8"/>
        <item x="29"/>
        <item x="1"/>
        <item x="27"/>
        <item x="16"/>
        <item x="44"/>
        <item x="37"/>
        <item x="26"/>
        <item x="6"/>
        <item x="35"/>
        <item x="32"/>
        <item x="14"/>
        <item x="28"/>
        <item x="15"/>
        <item x="2"/>
        <item x="40"/>
        <item x="0"/>
        <item x="12"/>
        <item x="33"/>
        <item x="13"/>
        <item x="47"/>
        <item x="5"/>
        <item x="22"/>
        <item x="23"/>
        <item x="20"/>
        <item x="9"/>
        <item x="39"/>
        <item x="7"/>
        <item x="3"/>
        <item x="46"/>
        <item x="11"/>
        <item x="43"/>
        <item x="18"/>
        <item x="25"/>
        <item x="34"/>
        <item x="31"/>
        <item x="19"/>
        <item x="30"/>
        <item x="4"/>
        <item x="42"/>
        <item x="24"/>
        <item x="21"/>
        <item t="default"/>
      </items>
    </pivotField>
    <pivotField dataField="1" compact="0" numFmtId="180" showAll="0">
      <items count="49">
        <item x="36"/>
        <item x="10"/>
        <item x="17"/>
        <item x="41"/>
        <item x="38"/>
        <item x="45"/>
        <item x="8"/>
        <item x="29"/>
        <item x="1"/>
        <item x="27"/>
        <item x="16"/>
        <item x="44"/>
        <item x="37"/>
        <item x="26"/>
        <item x="6"/>
        <item x="35"/>
        <item x="32"/>
        <item x="14"/>
        <item x="28"/>
        <item x="15"/>
        <item x="2"/>
        <item x="40"/>
        <item x="0"/>
        <item x="12"/>
        <item x="33"/>
        <item x="13"/>
        <item x="47"/>
        <item x="5"/>
        <item x="22"/>
        <item x="23"/>
        <item x="20"/>
        <item x="9"/>
        <item x="39"/>
        <item x="7"/>
        <item x="3"/>
        <item x="46"/>
        <item x="11"/>
        <item x="43"/>
        <item x="18"/>
        <item x="25"/>
        <item x="34"/>
        <item x="31"/>
        <item x="19"/>
        <item x="30"/>
        <item x="4"/>
        <item x="42"/>
        <item x="24"/>
        <item x="2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>
      <items count="31">
        <item x="20"/>
        <item x="12"/>
        <item x="0"/>
        <item x="10"/>
        <item x="27"/>
        <item x="2"/>
        <item x="25"/>
        <item x="19"/>
        <item x="28"/>
        <item x="21"/>
        <item x="18"/>
        <item x="11"/>
        <item x="8"/>
        <item x="17"/>
        <item x="6"/>
        <item x="23"/>
        <item x="5"/>
        <item x="29"/>
        <item x="26"/>
        <item x="7"/>
        <item x="3"/>
        <item x="13"/>
        <item x="22"/>
        <item x="9"/>
        <item x="15"/>
        <item x="14"/>
        <item x="16"/>
        <item x="1"/>
        <item x="4"/>
        <item x="2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1"/>
        <item x="4"/>
        <item x="0"/>
        <item x="3"/>
        <item x="2"/>
        <item t="default"/>
      </items>
    </pivotField>
  </pivotFields>
  <rowFields count="3">
    <field x="3"/>
    <field x="4"/>
    <field x="2"/>
  </rowFields>
  <rowItems count="40">
    <i>
      <x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sult" fld="14" subtotal="count" baseField="0" baseItem="0"/>
    <dataField name="Average of Percentage (%)" fld="12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lass" sourceName="Class">
  <pivotTables>
    <pivotTable tabId="7" name="PivotTable1"/>
  </pivotTables>
  <data>
    <tabular pivotCacheId="1">
      <items count="5">
        <i x="2" s="1"/>
        <i x="1" s="1"/>
        <i x="3" s="1"/>
        <i x="4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ction" sourceName="Section">
  <pivotTables>
    <pivotTable tabId="7" name="PivotTable1"/>
  </pivotTables>
  <data>
    <tabular pivotCacheId="1">
      <items count="3">
        <i x="1" s="1"/>
        <i x="2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7" name="PivotTable1"/>
  </pivotTables>
  <data>
    <tabular pivotCacheId="1">
      <items count="2">
        <i x="1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Fee_Status" sourceName="Fee Status">
  <pivotTables>
    <pivotTable tabId="7" name="PivotTable1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lass" cache="Slicer_Class" caption="Class" rowHeight="225425"/>
  <slicer name="Section" cache="Slicer_Section" caption="Section" rowHeight="225425"/>
  <slicer name="Gender" cache="Slicer_Gender" caption="Gender" rowHeight="225425"/>
  <slicer name="Fee Status" cache="Slicer_Fee_Status" caption="Fee Status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47"/>
  <sheetViews>
    <sheetView tabSelected="1" zoomScale="40" zoomScaleNormal="40" workbookViewId="0">
      <selection activeCell="AC4" sqref="AC4"/>
    </sheetView>
  </sheetViews>
  <sheetFormatPr defaultColWidth="8.67592592592593" defaultRowHeight="14.4"/>
  <cols>
    <col min="1" max="1" width="2" customWidth="1"/>
    <col min="2" max="11" width="14" customWidth="1"/>
  </cols>
  <sheetData>
    <row r="1" ht="22.8" spans="2:11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</row>
    <row r="3" ht="19.5" customHeight="1" spans="2:11">
      <c r="B3" s="15" t="s">
        <v>1</v>
      </c>
      <c r="C3" s="15"/>
      <c r="D3" s="16" t="s">
        <v>2</v>
      </c>
      <c r="E3" s="16"/>
      <c r="F3" s="17" t="s">
        <v>3</v>
      </c>
      <c r="G3" s="17"/>
      <c r="H3" s="18" t="s">
        <v>4</v>
      </c>
      <c r="I3" s="18"/>
    </row>
    <row r="4" ht="30" customHeight="1" spans="2:11">
      <c r="B4" s="19">
        <f>Summary!B4</f>
        <v>60</v>
      </c>
      <c r="C4" s="19"/>
      <c r="D4" s="20" t="str">
        <f>CONCATENATE(Summary!B5," / ",Summary!B6)</f>
        <v>47 / 13</v>
      </c>
      <c r="E4" s="20"/>
      <c r="F4" s="21">
        <f>Summary!B7</f>
        <v>67.1666666666667</v>
      </c>
      <c r="G4" s="21"/>
      <c r="H4" s="22" t="str">
        <f>Summary!B11</f>
        <v>Tanvi Verma</v>
      </c>
      <c r="I4" s="22"/>
    </row>
    <row r="6" spans="2:11">
      <c r="B6" s="23" t="s">
        <v>5</v>
      </c>
      <c r="C6" s="23"/>
    </row>
    <row r="7" ht="21" spans="2:11">
      <c r="B7" s="24">
        <f>Summary!B8</f>
        <v>33</v>
      </c>
      <c r="C7" s="24"/>
    </row>
    <row r="9" spans="2:11">
      <c r="B9" s="25" t="s">
        <v>6</v>
      </c>
      <c r="H9" s="25" t="s">
        <v>7</v>
      </c>
    </row>
    <row r="25" spans="2:2">
      <c r="B25" s="25" t="s">
        <v>8</v>
      </c>
    </row>
    <row r="45" ht="15" customHeight="1" spans="2:11"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spans="2:11"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spans="2:11">
      <c r="B47" s="13"/>
      <c r="C47" s="13"/>
      <c r="D47" s="13"/>
      <c r="E47" s="13"/>
      <c r="F47" s="13"/>
      <c r="G47" s="13"/>
      <c r="H47" s="13"/>
      <c r="I47" s="13"/>
      <c r="J47" s="13"/>
      <c r="K47" s="13"/>
    </row>
  </sheetData>
  <mergeCells count="12">
    <mergeCell ref="B1:K1"/>
    <mergeCell ref="B3:C3"/>
    <mergeCell ref="D3:E3"/>
    <mergeCell ref="F3:G3"/>
    <mergeCell ref="H3:I3"/>
    <mergeCell ref="B4:C4"/>
    <mergeCell ref="D4:E4"/>
    <mergeCell ref="F4:G4"/>
    <mergeCell ref="H4:I4"/>
    <mergeCell ref="B6:C6"/>
    <mergeCell ref="B7:C7"/>
    <mergeCell ref="B45:K47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A1" sqref="A1:C1"/>
    </sheetView>
  </sheetViews>
  <sheetFormatPr defaultColWidth="8.67592592592593" defaultRowHeight="14.4" outlineLevelRow="7"/>
  <cols>
    <col min="1" max="2" width="14" customWidth="1"/>
    <col min="3" max="3" width="40.4444444444444" customWidth="1"/>
    <col min="5" max="5" width="14" customWidth="1"/>
  </cols>
  <sheetData>
    <row r="1" ht="21" spans="1:11">
      <c r="A1" s="1" t="s">
        <v>9</v>
      </c>
      <c r="B1" s="1"/>
      <c r="C1" s="1"/>
    </row>
    <row r="2" ht="15" customHeight="1" spans="1:11">
      <c r="A2" s="9" t="s">
        <v>10</v>
      </c>
      <c r="B2" s="9" t="s">
        <v>11</v>
      </c>
      <c r="C2" s="9" t="s">
        <v>12</v>
      </c>
      <c r="E2" s="13" t="s">
        <v>13</v>
      </c>
      <c r="F2" s="13"/>
      <c r="G2" s="13"/>
      <c r="H2" s="13"/>
      <c r="I2" s="13"/>
      <c r="J2" s="13"/>
      <c r="K2" s="13"/>
    </row>
    <row r="3" spans="1:11">
      <c r="A3" s="10">
        <v>0</v>
      </c>
      <c r="B3" s="10">
        <v>39</v>
      </c>
      <c r="C3" s="10" t="s">
        <v>14</v>
      </c>
      <c r="E3" s="13"/>
      <c r="F3" s="13"/>
      <c r="G3" s="13"/>
      <c r="H3" s="13"/>
      <c r="I3" s="13"/>
      <c r="J3" s="13"/>
      <c r="K3" s="13"/>
    </row>
    <row r="4" spans="1:11">
      <c r="A4" s="10">
        <v>40</v>
      </c>
      <c r="B4" s="10">
        <v>49</v>
      </c>
      <c r="C4" s="10" t="s">
        <v>15</v>
      </c>
      <c r="E4" s="13"/>
      <c r="F4" s="13"/>
      <c r="G4" s="13"/>
      <c r="H4" s="13"/>
      <c r="I4" s="13"/>
      <c r="J4" s="13"/>
      <c r="K4" s="13"/>
    </row>
    <row r="5" spans="1:11">
      <c r="A5" s="10">
        <v>50</v>
      </c>
      <c r="B5" s="10">
        <v>59</v>
      </c>
      <c r="C5" s="10" t="s">
        <v>16</v>
      </c>
    </row>
    <row r="6" spans="1:11">
      <c r="A6" s="10">
        <v>60</v>
      </c>
      <c r="B6" s="10">
        <v>74</v>
      </c>
      <c r="C6" s="10" t="s">
        <v>17</v>
      </c>
    </row>
    <row r="7" spans="1:11">
      <c r="A7" s="10">
        <v>75</v>
      </c>
      <c r="B7" s="10">
        <v>89</v>
      </c>
      <c r="C7" s="10" t="s">
        <v>18</v>
      </c>
    </row>
    <row r="8" spans="1:11">
      <c r="A8" s="10">
        <v>90</v>
      </c>
      <c r="B8" s="10">
        <v>100</v>
      </c>
      <c r="C8" s="10" t="s">
        <v>19</v>
      </c>
    </row>
  </sheetData>
  <mergeCells count="2">
    <mergeCell ref="A1:C1"/>
    <mergeCell ref="E2:K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43"/>
  <sheetViews>
    <sheetView zoomScale="48" zoomScaleNormal="48" workbookViewId="0">
      <selection activeCell="W52" sqref="W52"/>
    </sheetView>
  </sheetViews>
  <sheetFormatPr defaultColWidth="8.88888888888889" defaultRowHeight="14.4" outlineLevelCol="4"/>
  <cols>
    <col min="1" max="1" width="11.6666666666667"/>
    <col min="2" max="2" width="9.77777777777778"/>
    <col min="3" max="3" width="7.77777777777778"/>
    <col min="4" max="6" width="24.6666666666667"/>
    <col min="7" max="7" width="20"/>
    <col min="8" max="8" width="29.8888888888889"/>
  </cols>
  <sheetData>
    <row r="3" spans="1:5">
      <c r="A3" t="s">
        <v>20</v>
      </c>
      <c r="B3" t="s">
        <v>21</v>
      </c>
      <c r="C3" t="s">
        <v>22</v>
      </c>
      <c r="D3" t="s">
        <v>23</v>
      </c>
      <c r="E3" t="s">
        <v>24</v>
      </c>
    </row>
    <row r="4" spans="1:5">
      <c r="A4" t="s">
        <v>18</v>
      </c>
      <c r="B4"/>
      <c r="C4"/>
      <c r="D4">
        <v>19</v>
      </c>
      <c r="E4">
        <v>67.2526315789474</v>
      </c>
    </row>
    <row r="5" spans="1:5">
      <c r="B5" t="s">
        <v>25</v>
      </c>
      <c r="C5"/>
      <c r="D5">
        <v>9</v>
      </c>
      <c r="E5">
        <v>66.0444444444444</v>
      </c>
    </row>
    <row r="6" spans="1:5">
      <c r="C6" t="s">
        <v>26</v>
      </c>
      <c r="D6">
        <v>2</v>
      </c>
      <c r="E6">
        <v>65</v>
      </c>
    </row>
    <row r="7" spans="1:5">
      <c r="C7" t="s">
        <v>27</v>
      </c>
      <c r="D7">
        <v>1</v>
      </c>
      <c r="E7">
        <v>61.6</v>
      </c>
    </row>
    <row r="8" spans="1:5">
      <c r="C8" t="s">
        <v>28</v>
      </c>
      <c r="D8">
        <v>2</v>
      </c>
      <c r="E8">
        <v>68.9</v>
      </c>
    </row>
    <row r="9" spans="1:5">
      <c r="C9" t="s">
        <v>29</v>
      </c>
      <c r="D9">
        <v>2</v>
      </c>
      <c r="E9">
        <v>68.9</v>
      </c>
    </row>
    <row r="10" spans="1:5">
      <c r="C10" t="s">
        <v>30</v>
      </c>
      <c r="D10">
        <v>2</v>
      </c>
      <c r="E10">
        <v>63.6</v>
      </c>
    </row>
    <row r="11" spans="1:5">
      <c r="B11" t="s">
        <v>31</v>
      </c>
      <c r="C11"/>
      <c r="D11">
        <v>10</v>
      </c>
      <c r="E11">
        <v>68.34</v>
      </c>
    </row>
    <row r="12" spans="1:5">
      <c r="C12" t="s">
        <v>26</v>
      </c>
      <c r="D12">
        <v>4</v>
      </c>
      <c r="E12">
        <v>67.15</v>
      </c>
    </row>
    <row r="13" spans="1:5">
      <c r="C13" t="s">
        <v>27</v>
      </c>
      <c r="D13">
        <v>3</v>
      </c>
      <c r="E13">
        <v>61.6</v>
      </c>
    </row>
    <row r="14" spans="1:5">
      <c r="C14" t="s">
        <v>28</v>
      </c>
      <c r="D14">
        <v>1</v>
      </c>
      <c r="E14">
        <v>82.4</v>
      </c>
    </row>
    <row r="15" spans="1:5">
      <c r="C15" t="s">
        <v>29</v>
      </c>
      <c r="D15">
        <v>1</v>
      </c>
      <c r="E15">
        <v>69.4</v>
      </c>
    </row>
    <row r="16" spans="1:5">
      <c r="C16" t="s">
        <v>30</v>
      </c>
      <c r="D16">
        <v>1</v>
      </c>
      <c r="E16">
        <v>78.2</v>
      </c>
    </row>
    <row r="17" spans="1:5">
      <c r="A17" t="s">
        <v>17</v>
      </c>
      <c r="B17"/>
      <c r="C17"/>
      <c r="D17">
        <v>21</v>
      </c>
      <c r="E17">
        <v>66.7619047619048</v>
      </c>
    </row>
    <row r="18" spans="1:5">
      <c r="B18" t="s">
        <v>25</v>
      </c>
      <c r="C18"/>
      <c r="D18">
        <v>11</v>
      </c>
      <c r="E18">
        <v>67.6181818181818</v>
      </c>
    </row>
    <row r="19" spans="1:5">
      <c r="C19" t="s">
        <v>26</v>
      </c>
      <c r="D19">
        <v>1</v>
      </c>
      <c r="E19">
        <v>53</v>
      </c>
    </row>
    <row r="20" spans="1:5">
      <c r="C20" t="s">
        <v>27</v>
      </c>
      <c r="D20">
        <v>2</v>
      </c>
      <c r="E20">
        <v>66.1</v>
      </c>
    </row>
    <row r="21" spans="1:5">
      <c r="C21" t="s">
        <v>28</v>
      </c>
      <c r="D21">
        <v>3</v>
      </c>
      <c r="E21">
        <v>69</v>
      </c>
    </row>
    <row r="22" spans="1:5">
      <c r="C22" t="s">
        <v>29</v>
      </c>
      <c r="D22">
        <v>2</v>
      </c>
      <c r="E22">
        <v>69.3</v>
      </c>
    </row>
    <row r="23" spans="1:5">
      <c r="C23" t="s">
        <v>30</v>
      </c>
      <c r="D23">
        <v>3</v>
      </c>
      <c r="E23">
        <v>71</v>
      </c>
    </row>
    <row r="24" spans="1:5">
      <c r="B24" t="s">
        <v>31</v>
      </c>
      <c r="C24"/>
      <c r="D24">
        <v>10</v>
      </c>
      <c r="E24">
        <v>65.82</v>
      </c>
    </row>
    <row r="25" spans="1:5">
      <c r="C25" t="s">
        <v>26</v>
      </c>
      <c r="D25">
        <v>2</v>
      </c>
      <c r="E25">
        <v>69.2</v>
      </c>
    </row>
    <row r="26" spans="1:5">
      <c r="C26" t="s">
        <v>27</v>
      </c>
      <c r="D26">
        <v>2</v>
      </c>
      <c r="E26">
        <v>57.2</v>
      </c>
    </row>
    <row r="27" spans="1:5">
      <c r="C27" t="s">
        <v>28</v>
      </c>
      <c r="D27">
        <v>2</v>
      </c>
      <c r="E27">
        <v>66.3</v>
      </c>
    </row>
    <row r="28" spans="1:5">
      <c r="C28" t="s">
        <v>29</v>
      </c>
      <c r="D28">
        <v>2</v>
      </c>
      <c r="E28">
        <v>63.9</v>
      </c>
    </row>
    <row r="29" spans="1:5">
      <c r="C29" t="s">
        <v>30</v>
      </c>
      <c r="D29">
        <v>2</v>
      </c>
      <c r="E29">
        <v>72.5</v>
      </c>
    </row>
    <row r="30" spans="1:5">
      <c r="A30" t="s">
        <v>16</v>
      </c>
      <c r="D30">
        <v>20</v>
      </c>
      <c r="E30">
        <v>67.51</v>
      </c>
    </row>
    <row r="31" spans="1:5">
      <c r="B31" t="s">
        <v>25</v>
      </c>
      <c r="C31"/>
      <c r="D31">
        <v>9</v>
      </c>
      <c r="E31">
        <v>67.0222222222222</v>
      </c>
    </row>
    <row r="32" spans="1:5">
      <c r="C32" t="s">
        <v>26</v>
      </c>
      <c r="D32">
        <v>1</v>
      </c>
      <c r="E32">
        <v>85</v>
      </c>
    </row>
    <row r="33" spans="1:5">
      <c r="C33" t="s">
        <v>27</v>
      </c>
      <c r="D33">
        <v>3</v>
      </c>
      <c r="E33">
        <v>67.7333333333333</v>
      </c>
    </row>
    <row r="34" spans="1:5">
      <c r="C34" t="s">
        <v>28</v>
      </c>
      <c r="D34">
        <v>3</v>
      </c>
      <c r="E34">
        <v>63</v>
      </c>
    </row>
    <row r="35" spans="1:5">
      <c r="C35" t="s">
        <v>29</v>
      </c>
      <c r="D35">
        <v>1</v>
      </c>
      <c r="E35">
        <v>54.8</v>
      </c>
    </row>
    <row r="36" spans="1:5">
      <c r="C36" t="s">
        <v>30</v>
      </c>
      <c r="D36">
        <v>1</v>
      </c>
      <c r="E36">
        <v>71.2</v>
      </c>
    </row>
    <row r="37" spans="1:5">
      <c r="B37" t="s">
        <v>31</v>
      </c>
      <c r="D37">
        <v>11</v>
      </c>
      <c r="E37">
        <v>67.9090909090909</v>
      </c>
    </row>
    <row r="38" spans="1:5">
      <c r="C38" t="s">
        <v>26</v>
      </c>
      <c r="D38">
        <v>2</v>
      </c>
      <c r="E38">
        <v>71.6</v>
      </c>
    </row>
    <row r="39" spans="1:5">
      <c r="C39" t="s">
        <v>27</v>
      </c>
      <c r="D39">
        <v>2</v>
      </c>
      <c r="E39">
        <v>71.4</v>
      </c>
    </row>
    <row r="40" spans="1:5">
      <c r="C40" t="s">
        <v>28</v>
      </c>
      <c r="D40">
        <v>2</v>
      </c>
      <c r="E40">
        <v>68.1</v>
      </c>
    </row>
    <row r="41" spans="1:5">
      <c r="C41" t="s">
        <v>29</v>
      </c>
      <c r="D41">
        <v>2</v>
      </c>
      <c r="E41">
        <v>67.4</v>
      </c>
    </row>
    <row r="42" spans="1:5">
      <c r="C42" t="s">
        <v>30</v>
      </c>
      <c r="D42">
        <v>3</v>
      </c>
      <c r="E42">
        <v>63.3333333333333</v>
      </c>
    </row>
    <row r="43" spans="1:5">
      <c r="A43" t="s">
        <v>32</v>
      </c>
      <c r="D43">
        <v>60</v>
      </c>
      <c r="E43">
        <v>67.1666666666667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1"/>
  <sheetViews>
    <sheetView workbookViewId="0">
      <pane ySplit="1" topLeftCell="A43" activePane="bottomLeft" state="frozen"/>
      <selection/>
      <selection pane="bottomLeft" activeCell="A1" sqref="A1:R61"/>
    </sheetView>
  </sheetViews>
  <sheetFormatPr defaultColWidth="8.67592592592593" defaultRowHeight="14.4"/>
  <cols>
    <col min="1" max="1" width="14" customWidth="1"/>
    <col min="2" max="2" width="16.1111111111111" customWidth="1"/>
    <col min="3" max="3" width="11.8888888888889" customWidth="1"/>
    <col min="4" max="5" width="9" customWidth="1"/>
    <col min="6" max="6" width="16" customWidth="1"/>
    <col min="7" max="7" width="8" customWidth="1"/>
    <col min="8" max="9" width="9" customWidth="1"/>
    <col min="10" max="10" width="10" customWidth="1"/>
    <col min="11" max="11" width="14" customWidth="1"/>
    <col min="12" max="12" width="12" customWidth="1"/>
    <col min="13" max="13" width="13" customWidth="1"/>
    <col min="14" max="15" width="8" customWidth="1"/>
    <col min="16" max="16" width="13" customWidth="1"/>
    <col min="17" max="17" width="11" customWidth="1"/>
    <col min="18" max="18" width="18" customWidth="1"/>
  </cols>
  <sheetData>
    <row r="1" spans="1:18">
      <c r="A1" s="9" t="s">
        <v>33</v>
      </c>
      <c r="B1" s="9" t="s">
        <v>34</v>
      </c>
      <c r="C1" s="9" t="s">
        <v>22</v>
      </c>
      <c r="D1" s="9" t="s">
        <v>20</v>
      </c>
      <c r="E1" s="9" t="s">
        <v>21</v>
      </c>
      <c r="F1" s="9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  <c r="L1" s="9" t="s">
        <v>41</v>
      </c>
      <c r="M1" s="9" t="s">
        <v>42</v>
      </c>
      <c r="N1" s="9" t="s">
        <v>12</v>
      </c>
      <c r="O1" s="9" t="s">
        <v>43</v>
      </c>
      <c r="P1" s="9" t="s">
        <v>44</v>
      </c>
      <c r="Q1" s="9" t="s">
        <v>45</v>
      </c>
      <c r="R1" s="9" t="s">
        <v>46</v>
      </c>
    </row>
    <row r="2" spans="1:18">
      <c r="A2" s="10" t="s">
        <v>47</v>
      </c>
      <c r="B2" s="5" t="s">
        <v>48</v>
      </c>
      <c r="C2" s="10" t="s">
        <v>30</v>
      </c>
      <c r="D2" s="10" t="s">
        <v>16</v>
      </c>
      <c r="E2" s="10" t="s">
        <v>31</v>
      </c>
      <c r="F2" s="5" t="s">
        <v>49</v>
      </c>
      <c r="G2" s="10">
        <v>47</v>
      </c>
      <c r="H2" s="10">
        <v>81</v>
      </c>
      <c r="I2" s="10">
        <v>42</v>
      </c>
      <c r="J2" s="10">
        <v>99</v>
      </c>
      <c r="K2" s="10">
        <v>62</v>
      </c>
      <c r="L2" s="10">
        <f t="shared" ref="L2:L61" si="0">SUM(G2:K2)</f>
        <v>331</v>
      </c>
      <c r="M2" s="12">
        <f t="shared" ref="M2:M61" si="1">L2/500*100</f>
        <v>66.2</v>
      </c>
      <c r="N2" s="10" t="str">
        <f>VLOOKUP(M2,Grade_Scale!$A$3:$C$8,3,TRUE())</f>
        <v>B</v>
      </c>
      <c r="O2" s="10" t="str">
        <f t="shared" ref="O2:O61" si="2">IF(AND(G2&gt;=40,H2&gt;=40,I2&gt;=40,J2&gt;=40,K2&gt;=40),"Pass","Fail")</f>
        <v>Pass</v>
      </c>
      <c r="P2" s="10">
        <v>62</v>
      </c>
      <c r="Q2" s="5" t="s">
        <v>50</v>
      </c>
      <c r="R2" s="5" t="str">
        <f t="shared" ref="R2:R61" si="3">IF(O2="Fail","Needs Improvement",IF(M2&gt;=90,"Excellent",IF(M2&gt;=75,"Very Good",IF(M2&gt;=60,"Good","Average"))))</f>
        <v>Good</v>
      </c>
    </row>
    <row r="3" spans="1:18">
      <c r="A3" s="10" t="s">
        <v>51</v>
      </c>
      <c r="B3" s="5" t="s">
        <v>52</v>
      </c>
      <c r="C3" s="10" t="s">
        <v>27</v>
      </c>
      <c r="D3" s="10" t="s">
        <v>18</v>
      </c>
      <c r="E3" s="10" t="s">
        <v>31</v>
      </c>
      <c r="F3" s="5" t="s">
        <v>53</v>
      </c>
      <c r="G3" s="10">
        <v>89</v>
      </c>
      <c r="H3" s="10">
        <v>42</v>
      </c>
      <c r="I3" s="10">
        <v>50</v>
      </c>
      <c r="J3" s="10">
        <v>63</v>
      </c>
      <c r="K3" s="10">
        <v>42</v>
      </c>
      <c r="L3" s="10">
        <f t="shared" si="0"/>
        <v>286</v>
      </c>
      <c r="M3" s="12">
        <f t="shared" si="1"/>
        <v>57.2</v>
      </c>
      <c r="N3" s="10" t="str">
        <f>VLOOKUP(M3,Grade_Scale!$A$3:$C$8,3,TRUE())</f>
        <v>C</v>
      </c>
      <c r="O3" s="10" t="str">
        <f t="shared" si="2"/>
        <v>Pass</v>
      </c>
      <c r="P3" s="10">
        <v>96</v>
      </c>
      <c r="Q3" s="5" t="s">
        <v>54</v>
      </c>
      <c r="R3" s="5" t="str">
        <f t="shared" si="3"/>
        <v>Average</v>
      </c>
    </row>
    <row r="4" spans="1:18">
      <c r="A4" s="10" t="s">
        <v>55</v>
      </c>
      <c r="B4" s="5" t="s">
        <v>56</v>
      </c>
      <c r="C4" s="10" t="s">
        <v>27</v>
      </c>
      <c r="D4" s="10" t="s">
        <v>16</v>
      </c>
      <c r="E4" s="10" t="s">
        <v>31</v>
      </c>
      <c r="F4" s="5" t="s">
        <v>57</v>
      </c>
      <c r="G4" s="10">
        <v>88</v>
      </c>
      <c r="H4" s="10">
        <v>53</v>
      </c>
      <c r="I4" s="10">
        <v>50</v>
      </c>
      <c r="J4" s="10">
        <v>74</v>
      </c>
      <c r="K4" s="10">
        <v>58</v>
      </c>
      <c r="L4" s="10">
        <f t="shared" si="0"/>
        <v>323</v>
      </c>
      <c r="M4" s="12">
        <f t="shared" si="1"/>
        <v>64.6</v>
      </c>
      <c r="N4" s="10" t="str">
        <f>VLOOKUP(M4,Grade_Scale!$A$3:$C$8,3,TRUE())</f>
        <v>B</v>
      </c>
      <c r="O4" s="10" t="str">
        <f t="shared" si="2"/>
        <v>Pass</v>
      </c>
      <c r="P4" s="10">
        <v>66</v>
      </c>
      <c r="Q4" s="5" t="s">
        <v>50</v>
      </c>
      <c r="R4" s="5" t="str">
        <f t="shared" si="3"/>
        <v>Good</v>
      </c>
    </row>
    <row r="5" spans="1:18">
      <c r="A5" s="10" t="s">
        <v>58</v>
      </c>
      <c r="B5" s="5" t="s">
        <v>59</v>
      </c>
      <c r="C5" s="10" t="s">
        <v>26</v>
      </c>
      <c r="D5" s="10" t="s">
        <v>16</v>
      </c>
      <c r="E5" s="10" t="s">
        <v>31</v>
      </c>
      <c r="F5" s="5" t="s">
        <v>53</v>
      </c>
      <c r="G5" s="10">
        <v>42</v>
      </c>
      <c r="H5" s="10">
        <v>61</v>
      </c>
      <c r="I5" s="10">
        <v>98</v>
      </c>
      <c r="J5" s="10">
        <v>89</v>
      </c>
      <c r="K5" s="10">
        <v>75</v>
      </c>
      <c r="L5" s="10">
        <f t="shared" si="0"/>
        <v>365</v>
      </c>
      <c r="M5" s="12">
        <f t="shared" si="1"/>
        <v>73</v>
      </c>
      <c r="N5" s="10" t="str">
        <f>VLOOKUP(M5,Grade_Scale!$A$3:$C$8,3,TRUE())</f>
        <v>B</v>
      </c>
      <c r="O5" s="10" t="str">
        <f t="shared" si="2"/>
        <v>Pass</v>
      </c>
      <c r="P5" s="10">
        <v>89</v>
      </c>
      <c r="Q5" s="5" t="s">
        <v>54</v>
      </c>
      <c r="R5" s="5" t="str">
        <f t="shared" si="3"/>
        <v>Good</v>
      </c>
    </row>
    <row r="6" spans="1:18">
      <c r="A6" s="10" t="s">
        <v>60</v>
      </c>
      <c r="B6" s="5" t="s">
        <v>61</v>
      </c>
      <c r="C6" s="10" t="s">
        <v>28</v>
      </c>
      <c r="D6" s="10" t="s">
        <v>18</v>
      </c>
      <c r="E6" s="10" t="s">
        <v>31</v>
      </c>
      <c r="F6" s="5" t="s">
        <v>49</v>
      </c>
      <c r="G6" s="10">
        <v>73</v>
      </c>
      <c r="H6" s="10">
        <v>98</v>
      </c>
      <c r="I6" s="10">
        <v>78</v>
      </c>
      <c r="J6" s="10">
        <v>92</v>
      </c>
      <c r="K6" s="10">
        <v>71</v>
      </c>
      <c r="L6" s="10">
        <f t="shared" si="0"/>
        <v>412</v>
      </c>
      <c r="M6" s="12">
        <f t="shared" si="1"/>
        <v>82.4</v>
      </c>
      <c r="N6" s="10" t="str">
        <f>VLOOKUP(M6,Grade_Scale!$A$3:$C$8,3,TRUE())</f>
        <v>A</v>
      </c>
      <c r="O6" s="10" t="str">
        <f t="shared" si="2"/>
        <v>Pass</v>
      </c>
      <c r="P6" s="10">
        <v>98</v>
      </c>
      <c r="Q6" s="5" t="s">
        <v>50</v>
      </c>
      <c r="R6" s="5" t="str">
        <f t="shared" si="3"/>
        <v>Very Good</v>
      </c>
    </row>
    <row r="7" spans="1:18">
      <c r="A7" s="10" t="s">
        <v>62</v>
      </c>
      <c r="B7" s="5" t="s">
        <v>63</v>
      </c>
      <c r="C7" s="10" t="s">
        <v>30</v>
      </c>
      <c r="D7" s="10" t="s">
        <v>18</v>
      </c>
      <c r="E7" s="10" t="s">
        <v>25</v>
      </c>
      <c r="F7" s="5" t="s">
        <v>49</v>
      </c>
      <c r="G7" s="10">
        <v>97</v>
      </c>
      <c r="H7" s="10">
        <v>88</v>
      </c>
      <c r="I7" s="10">
        <v>40</v>
      </c>
      <c r="J7" s="10">
        <v>44</v>
      </c>
      <c r="K7" s="10">
        <v>75</v>
      </c>
      <c r="L7" s="10">
        <f t="shared" si="0"/>
        <v>344</v>
      </c>
      <c r="M7" s="12">
        <f t="shared" si="1"/>
        <v>68.8</v>
      </c>
      <c r="N7" s="10" t="str">
        <f>VLOOKUP(M7,Grade_Scale!$A$3:$C$8,3,TRUE())</f>
        <v>B</v>
      </c>
      <c r="O7" s="10" t="str">
        <f t="shared" si="2"/>
        <v>Pass</v>
      </c>
      <c r="P7" s="10">
        <v>81</v>
      </c>
      <c r="Q7" s="5" t="s">
        <v>54</v>
      </c>
      <c r="R7" s="5" t="str">
        <f t="shared" si="3"/>
        <v>Good</v>
      </c>
    </row>
    <row r="8" spans="1:18">
      <c r="A8" s="10" t="s">
        <v>64</v>
      </c>
      <c r="B8" s="5" t="s">
        <v>65</v>
      </c>
      <c r="C8" s="10" t="s">
        <v>26</v>
      </c>
      <c r="D8" s="10" t="s">
        <v>17</v>
      </c>
      <c r="E8" s="10" t="s">
        <v>31</v>
      </c>
      <c r="F8" s="5" t="s">
        <v>49</v>
      </c>
      <c r="G8" s="10">
        <v>69</v>
      </c>
      <c r="H8" s="10">
        <v>95</v>
      </c>
      <c r="I8" s="10">
        <v>43</v>
      </c>
      <c r="J8" s="10">
        <v>42</v>
      </c>
      <c r="K8" s="10">
        <v>74</v>
      </c>
      <c r="L8" s="10">
        <f t="shared" si="0"/>
        <v>323</v>
      </c>
      <c r="M8" s="12">
        <f t="shared" si="1"/>
        <v>64.6</v>
      </c>
      <c r="N8" s="10" t="str">
        <f>VLOOKUP(M8,Grade_Scale!$A$3:$C$8,3,TRUE())</f>
        <v>B</v>
      </c>
      <c r="O8" s="10" t="str">
        <f t="shared" si="2"/>
        <v>Pass</v>
      </c>
      <c r="P8" s="10">
        <v>96</v>
      </c>
      <c r="Q8" s="5" t="s">
        <v>54</v>
      </c>
      <c r="R8" s="5" t="str">
        <f t="shared" si="3"/>
        <v>Good</v>
      </c>
    </row>
    <row r="9" spans="1:18">
      <c r="A9" s="10" t="s">
        <v>66</v>
      </c>
      <c r="B9" s="5" t="s">
        <v>67</v>
      </c>
      <c r="C9" s="10" t="s">
        <v>29</v>
      </c>
      <c r="D9" s="10" t="s">
        <v>18</v>
      </c>
      <c r="E9" s="10" t="s">
        <v>25</v>
      </c>
      <c r="F9" s="5" t="s">
        <v>57</v>
      </c>
      <c r="G9" s="10">
        <v>56</v>
      </c>
      <c r="H9" s="10">
        <v>49</v>
      </c>
      <c r="I9" s="10">
        <v>98</v>
      </c>
      <c r="J9" s="10">
        <v>42</v>
      </c>
      <c r="K9" s="10">
        <v>62</v>
      </c>
      <c r="L9" s="10">
        <f t="shared" si="0"/>
        <v>307</v>
      </c>
      <c r="M9" s="12">
        <f t="shared" si="1"/>
        <v>61.4</v>
      </c>
      <c r="N9" s="10" t="str">
        <f>VLOOKUP(M9,Grade_Scale!$A$3:$C$8,3,TRUE())</f>
        <v>B</v>
      </c>
      <c r="O9" s="10" t="str">
        <f t="shared" si="2"/>
        <v>Pass</v>
      </c>
      <c r="P9" s="10">
        <v>78</v>
      </c>
      <c r="Q9" s="5" t="s">
        <v>50</v>
      </c>
      <c r="R9" s="5" t="str">
        <f t="shared" si="3"/>
        <v>Good</v>
      </c>
    </row>
    <row r="10" spans="1:18">
      <c r="A10" s="10" t="s">
        <v>68</v>
      </c>
      <c r="B10" s="5" t="s">
        <v>69</v>
      </c>
      <c r="C10" s="10" t="s">
        <v>30</v>
      </c>
      <c r="D10" s="10" t="s">
        <v>17</v>
      </c>
      <c r="E10" s="10" t="s">
        <v>25</v>
      </c>
      <c r="F10" s="5" t="s">
        <v>49</v>
      </c>
      <c r="G10" s="10">
        <v>56</v>
      </c>
      <c r="H10" s="10">
        <v>92</v>
      </c>
      <c r="I10" s="10">
        <v>86</v>
      </c>
      <c r="J10" s="10">
        <v>70</v>
      </c>
      <c r="K10" s="10">
        <v>52</v>
      </c>
      <c r="L10" s="10">
        <f t="shared" si="0"/>
        <v>356</v>
      </c>
      <c r="M10" s="12">
        <f t="shared" si="1"/>
        <v>71.2</v>
      </c>
      <c r="N10" s="10" t="str">
        <f>VLOOKUP(M10,Grade_Scale!$A$3:$C$8,3,TRUE())</f>
        <v>B</v>
      </c>
      <c r="O10" s="10" t="str">
        <f t="shared" si="2"/>
        <v>Pass</v>
      </c>
      <c r="P10" s="10">
        <v>87</v>
      </c>
      <c r="Q10" s="5" t="s">
        <v>54</v>
      </c>
      <c r="R10" s="5" t="str">
        <f t="shared" si="3"/>
        <v>Good</v>
      </c>
    </row>
    <row r="11" spans="1:18">
      <c r="A11" s="10" t="s">
        <v>70</v>
      </c>
      <c r="B11" s="5" t="s">
        <v>71</v>
      </c>
      <c r="C11" s="10" t="s">
        <v>29</v>
      </c>
      <c r="D11" s="10" t="s">
        <v>16</v>
      </c>
      <c r="E11" s="10" t="s">
        <v>25</v>
      </c>
      <c r="F11" s="5" t="s">
        <v>49</v>
      </c>
      <c r="G11" s="10">
        <v>54</v>
      </c>
      <c r="H11" s="10">
        <v>45</v>
      </c>
      <c r="I11" s="10">
        <v>57</v>
      </c>
      <c r="J11" s="10">
        <v>54</v>
      </c>
      <c r="K11" s="10">
        <v>64</v>
      </c>
      <c r="L11" s="10">
        <f t="shared" si="0"/>
        <v>274</v>
      </c>
      <c r="M11" s="12">
        <f t="shared" si="1"/>
        <v>54.8</v>
      </c>
      <c r="N11" s="10" t="str">
        <f>VLOOKUP(M11,Grade_Scale!$A$3:$C$8,3,TRUE())</f>
        <v>C</v>
      </c>
      <c r="O11" s="10" t="str">
        <f t="shared" si="2"/>
        <v>Pass</v>
      </c>
      <c r="P11" s="10">
        <v>74</v>
      </c>
      <c r="Q11" s="5" t="s">
        <v>50</v>
      </c>
      <c r="R11" s="5" t="str">
        <f t="shared" si="3"/>
        <v>Average</v>
      </c>
    </row>
    <row r="12" spans="1:18">
      <c r="A12" s="10" t="s">
        <v>72</v>
      </c>
      <c r="B12" s="5" t="s">
        <v>73</v>
      </c>
      <c r="C12" s="10" t="s">
        <v>28</v>
      </c>
      <c r="D12" s="10" t="s">
        <v>17</v>
      </c>
      <c r="E12" s="10" t="s">
        <v>25</v>
      </c>
      <c r="F12" s="5" t="s">
        <v>49</v>
      </c>
      <c r="G12" s="10">
        <v>53</v>
      </c>
      <c r="H12" s="10">
        <v>88</v>
      </c>
      <c r="I12" s="10">
        <v>82</v>
      </c>
      <c r="J12" s="10">
        <v>75</v>
      </c>
      <c r="K12" s="10">
        <v>51</v>
      </c>
      <c r="L12" s="10">
        <f t="shared" si="0"/>
        <v>349</v>
      </c>
      <c r="M12" s="12">
        <f t="shared" si="1"/>
        <v>69.8</v>
      </c>
      <c r="N12" s="10" t="str">
        <f>VLOOKUP(M12,Grade_Scale!$A$3:$C$8,3,TRUE())</f>
        <v>B</v>
      </c>
      <c r="O12" s="10" t="str">
        <f t="shared" si="2"/>
        <v>Pass</v>
      </c>
      <c r="P12" s="10">
        <v>92</v>
      </c>
      <c r="Q12" s="5" t="s">
        <v>50</v>
      </c>
      <c r="R12" s="5" t="str">
        <f t="shared" si="3"/>
        <v>Good</v>
      </c>
    </row>
    <row r="13" spans="1:18">
      <c r="A13" s="10" t="s">
        <v>74</v>
      </c>
      <c r="B13" s="5" t="s">
        <v>75</v>
      </c>
      <c r="C13" s="10" t="s">
        <v>30</v>
      </c>
      <c r="D13" s="10" t="s">
        <v>17</v>
      </c>
      <c r="E13" s="10" t="s">
        <v>25</v>
      </c>
      <c r="F13" s="5" t="s">
        <v>57</v>
      </c>
      <c r="G13" s="10">
        <v>48</v>
      </c>
      <c r="H13" s="10">
        <v>96</v>
      </c>
      <c r="I13" s="10">
        <v>86</v>
      </c>
      <c r="J13" s="10">
        <v>42</v>
      </c>
      <c r="K13" s="10">
        <v>59</v>
      </c>
      <c r="L13" s="10">
        <f t="shared" si="0"/>
        <v>331</v>
      </c>
      <c r="M13" s="12">
        <f t="shared" si="1"/>
        <v>66.2</v>
      </c>
      <c r="N13" s="10" t="str">
        <f>VLOOKUP(M13,Grade_Scale!$A$3:$C$8,3,TRUE())</f>
        <v>B</v>
      </c>
      <c r="O13" s="10" t="str">
        <f t="shared" si="2"/>
        <v>Pass</v>
      </c>
      <c r="P13" s="10">
        <v>64</v>
      </c>
      <c r="Q13" s="5" t="s">
        <v>50</v>
      </c>
      <c r="R13" s="5" t="str">
        <f t="shared" si="3"/>
        <v>Good</v>
      </c>
    </row>
    <row r="14" spans="1:18">
      <c r="A14" s="10" t="s">
        <v>76</v>
      </c>
      <c r="B14" s="5" t="s">
        <v>77</v>
      </c>
      <c r="C14" s="10" t="s">
        <v>27</v>
      </c>
      <c r="D14" s="10" t="s">
        <v>17</v>
      </c>
      <c r="E14" s="10" t="s">
        <v>31</v>
      </c>
      <c r="F14" s="5" t="s">
        <v>49</v>
      </c>
      <c r="G14" s="10">
        <v>35</v>
      </c>
      <c r="H14" s="10">
        <v>54</v>
      </c>
      <c r="I14" s="10">
        <v>47</v>
      </c>
      <c r="J14" s="10">
        <v>81</v>
      </c>
      <c r="K14" s="10">
        <v>38</v>
      </c>
      <c r="L14" s="10">
        <f t="shared" si="0"/>
        <v>255</v>
      </c>
      <c r="M14" s="12">
        <f t="shared" si="1"/>
        <v>51</v>
      </c>
      <c r="N14" s="10" t="str">
        <f>VLOOKUP(M14,Grade_Scale!$A$3:$C$8,3,TRUE())</f>
        <v>C</v>
      </c>
      <c r="O14" s="10" t="str">
        <f t="shared" si="2"/>
        <v>Fail</v>
      </c>
      <c r="P14" s="10">
        <v>64</v>
      </c>
      <c r="Q14" s="5" t="s">
        <v>50</v>
      </c>
      <c r="R14" s="5" t="str">
        <f t="shared" si="3"/>
        <v>Needs Improvement</v>
      </c>
    </row>
    <row r="15" spans="1:18">
      <c r="A15" s="10" t="s">
        <v>78</v>
      </c>
      <c r="B15" s="5" t="s">
        <v>79</v>
      </c>
      <c r="C15" s="10" t="s">
        <v>28</v>
      </c>
      <c r="D15" s="10" t="s">
        <v>16</v>
      </c>
      <c r="E15" s="10" t="s">
        <v>25</v>
      </c>
      <c r="F15" s="5" t="s">
        <v>57</v>
      </c>
      <c r="G15" s="10">
        <v>81</v>
      </c>
      <c r="H15" s="10">
        <v>95</v>
      </c>
      <c r="I15" s="10">
        <v>50</v>
      </c>
      <c r="J15" s="10">
        <v>49</v>
      </c>
      <c r="K15" s="10">
        <v>97</v>
      </c>
      <c r="L15" s="10">
        <f t="shared" si="0"/>
        <v>372</v>
      </c>
      <c r="M15" s="12">
        <f t="shared" si="1"/>
        <v>74.4</v>
      </c>
      <c r="N15" s="10" t="str">
        <f>VLOOKUP(M15,Grade_Scale!$A$3:$C$8,3,TRUE())</f>
        <v>B</v>
      </c>
      <c r="O15" s="10" t="str">
        <f t="shared" si="2"/>
        <v>Pass</v>
      </c>
      <c r="P15" s="10">
        <v>89</v>
      </c>
      <c r="Q15" s="5" t="s">
        <v>54</v>
      </c>
      <c r="R15" s="5" t="str">
        <f t="shared" si="3"/>
        <v>Good</v>
      </c>
    </row>
    <row r="16" spans="1:18">
      <c r="A16" s="10" t="s">
        <v>80</v>
      </c>
      <c r="B16" s="5" t="s">
        <v>81</v>
      </c>
      <c r="C16" s="10" t="s">
        <v>27</v>
      </c>
      <c r="D16" s="10" t="s">
        <v>18</v>
      </c>
      <c r="E16" s="10" t="s">
        <v>31</v>
      </c>
      <c r="F16" s="5" t="s">
        <v>53</v>
      </c>
      <c r="G16" s="10">
        <v>78</v>
      </c>
      <c r="H16" s="10">
        <v>68</v>
      </c>
      <c r="I16" s="10">
        <v>96</v>
      </c>
      <c r="J16" s="10">
        <v>55</v>
      </c>
      <c r="K16" s="10">
        <v>37</v>
      </c>
      <c r="L16" s="10">
        <f t="shared" si="0"/>
        <v>334</v>
      </c>
      <c r="M16" s="12">
        <f t="shared" si="1"/>
        <v>66.8</v>
      </c>
      <c r="N16" s="10" t="str">
        <f>VLOOKUP(M16,Grade_Scale!$A$3:$C$8,3,TRUE())</f>
        <v>B</v>
      </c>
      <c r="O16" s="10" t="str">
        <f t="shared" si="2"/>
        <v>Fail</v>
      </c>
      <c r="P16" s="10">
        <v>73</v>
      </c>
      <c r="Q16" s="5" t="s">
        <v>54</v>
      </c>
      <c r="R16" s="5" t="str">
        <f t="shared" si="3"/>
        <v>Needs Improvement</v>
      </c>
    </row>
    <row r="17" spans="1:18">
      <c r="A17" s="10" t="s">
        <v>82</v>
      </c>
      <c r="B17" s="5" t="s">
        <v>83</v>
      </c>
      <c r="C17" s="10" t="s">
        <v>27</v>
      </c>
      <c r="D17" s="10" t="s">
        <v>16</v>
      </c>
      <c r="E17" s="10" t="s">
        <v>25</v>
      </c>
      <c r="F17" s="5" t="s">
        <v>53</v>
      </c>
      <c r="G17" s="10">
        <v>46</v>
      </c>
      <c r="H17" s="10">
        <v>68</v>
      </c>
      <c r="I17" s="10">
        <v>81</v>
      </c>
      <c r="J17" s="10">
        <v>56</v>
      </c>
      <c r="K17" s="10">
        <v>80</v>
      </c>
      <c r="L17" s="10">
        <f t="shared" si="0"/>
        <v>331</v>
      </c>
      <c r="M17" s="12">
        <f t="shared" si="1"/>
        <v>66.2</v>
      </c>
      <c r="N17" s="10" t="str">
        <f>VLOOKUP(M17,Grade_Scale!$A$3:$C$8,3,TRUE())</f>
        <v>B</v>
      </c>
      <c r="O17" s="10" t="str">
        <f t="shared" si="2"/>
        <v>Pass</v>
      </c>
      <c r="P17" s="10">
        <v>74</v>
      </c>
      <c r="Q17" s="5" t="s">
        <v>54</v>
      </c>
      <c r="R17" s="5" t="str">
        <f t="shared" si="3"/>
        <v>Good</v>
      </c>
    </row>
    <row r="18" spans="1:18">
      <c r="A18" s="10" t="s">
        <v>84</v>
      </c>
      <c r="B18" s="5" t="s">
        <v>85</v>
      </c>
      <c r="C18" s="10" t="s">
        <v>26</v>
      </c>
      <c r="D18" s="10" t="s">
        <v>18</v>
      </c>
      <c r="E18" s="10" t="s">
        <v>31</v>
      </c>
      <c r="F18" s="5" t="s">
        <v>57</v>
      </c>
      <c r="G18" s="10">
        <v>64</v>
      </c>
      <c r="H18" s="10">
        <v>60</v>
      </c>
      <c r="I18" s="10">
        <v>98</v>
      </c>
      <c r="J18" s="10">
        <v>80</v>
      </c>
      <c r="K18" s="10">
        <v>38</v>
      </c>
      <c r="L18" s="10">
        <f t="shared" si="0"/>
        <v>340</v>
      </c>
      <c r="M18" s="12">
        <f t="shared" si="1"/>
        <v>68</v>
      </c>
      <c r="N18" s="10" t="str">
        <f>VLOOKUP(M18,Grade_Scale!$A$3:$C$8,3,TRUE())</f>
        <v>B</v>
      </c>
      <c r="O18" s="10" t="str">
        <f t="shared" si="2"/>
        <v>Fail</v>
      </c>
      <c r="P18" s="10">
        <v>61</v>
      </c>
      <c r="Q18" s="5" t="s">
        <v>54</v>
      </c>
      <c r="R18" s="5" t="str">
        <f t="shared" si="3"/>
        <v>Needs Improvement</v>
      </c>
    </row>
    <row r="19" spans="1:18">
      <c r="A19" s="10" t="s">
        <v>86</v>
      </c>
      <c r="B19" s="5" t="s">
        <v>81</v>
      </c>
      <c r="C19" s="10" t="s">
        <v>28</v>
      </c>
      <c r="D19" s="10" t="s">
        <v>16</v>
      </c>
      <c r="E19" s="10" t="s">
        <v>25</v>
      </c>
      <c r="F19" s="5" t="s">
        <v>57</v>
      </c>
      <c r="G19" s="10">
        <v>79</v>
      </c>
      <c r="H19" s="10">
        <v>81</v>
      </c>
      <c r="I19" s="10">
        <v>45</v>
      </c>
      <c r="J19" s="10">
        <v>63</v>
      </c>
      <c r="K19" s="10">
        <v>48</v>
      </c>
      <c r="L19" s="10">
        <f t="shared" si="0"/>
        <v>316</v>
      </c>
      <c r="M19" s="12">
        <f t="shared" si="1"/>
        <v>63.2</v>
      </c>
      <c r="N19" s="10" t="str">
        <f>VLOOKUP(M19,Grade_Scale!$A$3:$C$8,3,TRUE())</f>
        <v>B</v>
      </c>
      <c r="O19" s="10" t="str">
        <f t="shared" si="2"/>
        <v>Pass</v>
      </c>
      <c r="P19" s="10">
        <v>74</v>
      </c>
      <c r="Q19" s="5" t="s">
        <v>54</v>
      </c>
      <c r="R19" s="5" t="str">
        <f t="shared" si="3"/>
        <v>Good</v>
      </c>
    </row>
    <row r="20" spans="1:18">
      <c r="A20" s="10" t="s">
        <v>87</v>
      </c>
      <c r="B20" s="5" t="s">
        <v>88</v>
      </c>
      <c r="C20" s="10" t="s">
        <v>28</v>
      </c>
      <c r="D20" s="10" t="s">
        <v>17</v>
      </c>
      <c r="E20" s="10" t="s">
        <v>31</v>
      </c>
      <c r="F20" s="5" t="s">
        <v>57</v>
      </c>
      <c r="G20" s="10">
        <v>79</v>
      </c>
      <c r="H20" s="10">
        <v>45</v>
      </c>
      <c r="I20" s="10">
        <v>50</v>
      </c>
      <c r="J20" s="10">
        <v>84</v>
      </c>
      <c r="K20" s="10">
        <v>60</v>
      </c>
      <c r="L20" s="10">
        <f t="shared" si="0"/>
        <v>318</v>
      </c>
      <c r="M20" s="12">
        <f t="shared" si="1"/>
        <v>63.6</v>
      </c>
      <c r="N20" s="10" t="str">
        <f>VLOOKUP(M20,Grade_Scale!$A$3:$C$8,3,TRUE())</f>
        <v>B</v>
      </c>
      <c r="O20" s="10" t="str">
        <f t="shared" si="2"/>
        <v>Pass</v>
      </c>
      <c r="P20" s="10">
        <v>90</v>
      </c>
      <c r="Q20" s="5" t="s">
        <v>50</v>
      </c>
      <c r="R20" s="5" t="str">
        <f t="shared" si="3"/>
        <v>Good</v>
      </c>
    </row>
    <row r="21" spans="1:18">
      <c r="A21" s="10" t="s">
        <v>89</v>
      </c>
      <c r="B21" s="5" t="s">
        <v>90</v>
      </c>
      <c r="C21" s="10" t="s">
        <v>27</v>
      </c>
      <c r="D21" s="10" t="s">
        <v>16</v>
      </c>
      <c r="E21" s="10" t="s">
        <v>25</v>
      </c>
      <c r="F21" s="5" t="s">
        <v>57</v>
      </c>
      <c r="G21" s="10">
        <v>86</v>
      </c>
      <c r="H21" s="10">
        <v>45</v>
      </c>
      <c r="I21" s="10">
        <v>55</v>
      </c>
      <c r="J21" s="10">
        <v>56</v>
      </c>
      <c r="K21" s="10">
        <v>51</v>
      </c>
      <c r="L21" s="10">
        <f t="shared" si="0"/>
        <v>293</v>
      </c>
      <c r="M21" s="12">
        <f t="shared" si="1"/>
        <v>58.6</v>
      </c>
      <c r="N21" s="10" t="str">
        <f>VLOOKUP(M21,Grade_Scale!$A$3:$C$8,3,TRUE())</f>
        <v>C</v>
      </c>
      <c r="O21" s="10" t="str">
        <f t="shared" si="2"/>
        <v>Pass</v>
      </c>
      <c r="P21" s="10">
        <v>61</v>
      </c>
      <c r="Q21" s="5" t="s">
        <v>50</v>
      </c>
      <c r="R21" s="5" t="str">
        <f t="shared" si="3"/>
        <v>Average</v>
      </c>
    </row>
    <row r="22" spans="1:18">
      <c r="A22" s="10" t="s">
        <v>91</v>
      </c>
      <c r="B22" s="5" t="s">
        <v>92</v>
      </c>
      <c r="C22" s="10" t="s">
        <v>28</v>
      </c>
      <c r="D22" s="10" t="s">
        <v>16</v>
      </c>
      <c r="E22" s="10" t="s">
        <v>25</v>
      </c>
      <c r="F22" s="5" t="s">
        <v>53</v>
      </c>
      <c r="G22" s="10">
        <v>79</v>
      </c>
      <c r="H22" s="10">
        <v>54</v>
      </c>
      <c r="I22" s="10">
        <v>51</v>
      </c>
      <c r="J22" s="10">
        <v>37</v>
      </c>
      <c r="K22" s="10">
        <v>36</v>
      </c>
      <c r="L22" s="10">
        <f t="shared" si="0"/>
        <v>257</v>
      </c>
      <c r="M22" s="12">
        <f t="shared" si="1"/>
        <v>51.4</v>
      </c>
      <c r="N22" s="10" t="str">
        <f>VLOOKUP(M22,Grade_Scale!$A$3:$C$8,3,TRUE())</f>
        <v>C</v>
      </c>
      <c r="O22" s="10" t="str">
        <f t="shared" si="2"/>
        <v>Fail</v>
      </c>
      <c r="P22" s="10">
        <v>66</v>
      </c>
      <c r="Q22" s="5" t="s">
        <v>50</v>
      </c>
      <c r="R22" s="5" t="str">
        <f t="shared" si="3"/>
        <v>Needs Improvement</v>
      </c>
    </row>
    <row r="23" spans="1:18">
      <c r="A23" s="10" t="s">
        <v>93</v>
      </c>
      <c r="B23" s="5" t="s">
        <v>94</v>
      </c>
      <c r="C23" s="10" t="s">
        <v>28</v>
      </c>
      <c r="D23" s="10" t="s">
        <v>18</v>
      </c>
      <c r="E23" s="10" t="s">
        <v>25</v>
      </c>
      <c r="F23" s="5" t="s">
        <v>49</v>
      </c>
      <c r="G23" s="10">
        <v>72</v>
      </c>
      <c r="H23" s="10">
        <v>99</v>
      </c>
      <c r="I23" s="10">
        <v>65</v>
      </c>
      <c r="J23" s="10">
        <v>76</v>
      </c>
      <c r="K23" s="10">
        <v>68</v>
      </c>
      <c r="L23" s="10">
        <f t="shared" si="0"/>
        <v>380</v>
      </c>
      <c r="M23" s="12">
        <f t="shared" si="1"/>
        <v>76</v>
      </c>
      <c r="N23" s="10" t="str">
        <f>VLOOKUP(M23,Grade_Scale!$A$3:$C$8,3,TRUE())</f>
        <v>A</v>
      </c>
      <c r="O23" s="10" t="str">
        <f t="shared" si="2"/>
        <v>Pass</v>
      </c>
      <c r="P23" s="10">
        <v>94</v>
      </c>
      <c r="Q23" s="5" t="s">
        <v>54</v>
      </c>
      <c r="R23" s="5" t="str">
        <f t="shared" si="3"/>
        <v>Very Good</v>
      </c>
    </row>
    <row r="24" spans="1:18">
      <c r="A24" s="10" t="s">
        <v>95</v>
      </c>
      <c r="B24" s="5" t="s">
        <v>96</v>
      </c>
      <c r="C24" s="10" t="s">
        <v>27</v>
      </c>
      <c r="D24" s="10" t="s">
        <v>16</v>
      </c>
      <c r="E24" s="10" t="s">
        <v>25</v>
      </c>
      <c r="F24" s="5" t="s">
        <v>57</v>
      </c>
      <c r="G24" s="10">
        <v>88</v>
      </c>
      <c r="H24" s="10">
        <v>99</v>
      </c>
      <c r="I24" s="10">
        <v>51</v>
      </c>
      <c r="J24" s="10">
        <v>54</v>
      </c>
      <c r="K24" s="10">
        <v>100</v>
      </c>
      <c r="L24" s="10">
        <f t="shared" si="0"/>
        <v>392</v>
      </c>
      <c r="M24" s="12">
        <f t="shared" si="1"/>
        <v>78.4</v>
      </c>
      <c r="N24" s="10" t="str">
        <f>VLOOKUP(M24,Grade_Scale!$A$3:$C$8,3,TRUE())</f>
        <v>A</v>
      </c>
      <c r="O24" s="10" t="str">
        <f t="shared" si="2"/>
        <v>Pass</v>
      </c>
      <c r="P24" s="10">
        <v>61</v>
      </c>
      <c r="Q24" s="5" t="s">
        <v>54</v>
      </c>
      <c r="R24" s="5" t="str">
        <f t="shared" si="3"/>
        <v>Very Good</v>
      </c>
    </row>
    <row r="25" spans="1:18">
      <c r="A25" s="10" t="s">
        <v>97</v>
      </c>
      <c r="B25" s="5" t="s">
        <v>98</v>
      </c>
      <c r="C25" s="10" t="s">
        <v>26</v>
      </c>
      <c r="D25" s="10" t="s">
        <v>18</v>
      </c>
      <c r="E25" s="10" t="s">
        <v>31</v>
      </c>
      <c r="F25" s="5" t="s">
        <v>49</v>
      </c>
      <c r="G25" s="10">
        <v>53</v>
      </c>
      <c r="H25" s="10">
        <v>95</v>
      </c>
      <c r="I25" s="10">
        <v>50</v>
      </c>
      <c r="J25" s="10">
        <v>42</v>
      </c>
      <c r="K25" s="10">
        <v>76</v>
      </c>
      <c r="L25" s="10">
        <f t="shared" si="0"/>
        <v>316</v>
      </c>
      <c r="M25" s="12">
        <f t="shared" si="1"/>
        <v>63.2</v>
      </c>
      <c r="N25" s="10" t="str">
        <f>VLOOKUP(M25,Grade_Scale!$A$3:$C$8,3,TRUE())</f>
        <v>B</v>
      </c>
      <c r="O25" s="10" t="str">
        <f t="shared" si="2"/>
        <v>Pass</v>
      </c>
      <c r="P25" s="10">
        <v>93</v>
      </c>
      <c r="Q25" s="5" t="s">
        <v>54</v>
      </c>
      <c r="R25" s="5" t="str">
        <f t="shared" si="3"/>
        <v>Good</v>
      </c>
    </row>
    <row r="26" spans="1:18">
      <c r="A26" s="10" t="s">
        <v>99</v>
      </c>
      <c r="B26" s="5" t="s">
        <v>100</v>
      </c>
      <c r="C26" s="10" t="s">
        <v>26</v>
      </c>
      <c r="D26" s="10" t="s">
        <v>18</v>
      </c>
      <c r="E26" s="10" t="s">
        <v>31</v>
      </c>
      <c r="F26" s="5" t="s">
        <v>49</v>
      </c>
      <c r="G26" s="10">
        <v>70</v>
      </c>
      <c r="H26" s="10">
        <v>40</v>
      </c>
      <c r="I26" s="10">
        <v>47</v>
      </c>
      <c r="J26" s="10">
        <v>99</v>
      </c>
      <c r="K26" s="10">
        <v>92</v>
      </c>
      <c r="L26" s="10">
        <f t="shared" si="0"/>
        <v>348</v>
      </c>
      <c r="M26" s="12">
        <f t="shared" si="1"/>
        <v>69.6</v>
      </c>
      <c r="N26" s="10" t="str">
        <f>VLOOKUP(M26,Grade_Scale!$A$3:$C$8,3,TRUE())</f>
        <v>B</v>
      </c>
      <c r="O26" s="10" t="str">
        <f t="shared" si="2"/>
        <v>Pass</v>
      </c>
      <c r="P26" s="10">
        <v>95</v>
      </c>
      <c r="Q26" s="5" t="s">
        <v>50</v>
      </c>
      <c r="R26" s="5" t="str">
        <f t="shared" si="3"/>
        <v>Good</v>
      </c>
    </row>
    <row r="27" spans="1:18">
      <c r="A27" s="10" t="s">
        <v>101</v>
      </c>
      <c r="B27" s="5" t="s">
        <v>102</v>
      </c>
      <c r="C27" s="10" t="s">
        <v>30</v>
      </c>
      <c r="D27" s="10" t="s">
        <v>17</v>
      </c>
      <c r="E27" s="10" t="s">
        <v>31</v>
      </c>
      <c r="F27" s="5" t="s">
        <v>53</v>
      </c>
      <c r="G27" s="10">
        <v>70</v>
      </c>
      <c r="H27" s="10">
        <v>92</v>
      </c>
      <c r="I27" s="10">
        <v>100</v>
      </c>
      <c r="J27" s="10">
        <v>96</v>
      </c>
      <c r="K27" s="10">
        <v>99</v>
      </c>
      <c r="L27" s="10">
        <f t="shared" si="0"/>
        <v>457</v>
      </c>
      <c r="M27" s="12">
        <f t="shared" si="1"/>
        <v>91.4</v>
      </c>
      <c r="N27" s="10" t="str">
        <f>VLOOKUP(M27,Grade_Scale!$A$3:$C$8,3,TRUE())</f>
        <v>A+</v>
      </c>
      <c r="O27" s="10" t="str">
        <f t="shared" si="2"/>
        <v>Pass</v>
      </c>
      <c r="P27" s="10">
        <v>75</v>
      </c>
      <c r="Q27" s="5" t="s">
        <v>54</v>
      </c>
      <c r="R27" s="5" t="str">
        <f t="shared" si="3"/>
        <v>Excellent</v>
      </c>
    </row>
    <row r="28" spans="1:18">
      <c r="A28" s="10" t="s">
        <v>103</v>
      </c>
      <c r="B28" s="5" t="s">
        <v>104</v>
      </c>
      <c r="C28" s="10" t="s">
        <v>28</v>
      </c>
      <c r="D28" s="10" t="s">
        <v>17</v>
      </c>
      <c r="E28" s="10" t="s">
        <v>31</v>
      </c>
      <c r="F28" s="5" t="s">
        <v>57</v>
      </c>
      <c r="G28" s="10">
        <v>50</v>
      </c>
      <c r="H28" s="10">
        <v>85</v>
      </c>
      <c r="I28" s="10">
        <v>91</v>
      </c>
      <c r="J28" s="10">
        <v>75</v>
      </c>
      <c r="K28" s="10">
        <v>44</v>
      </c>
      <c r="L28" s="10">
        <f t="shared" si="0"/>
        <v>345</v>
      </c>
      <c r="M28" s="12">
        <f t="shared" si="1"/>
        <v>69</v>
      </c>
      <c r="N28" s="10" t="str">
        <f>VLOOKUP(M28,Grade_Scale!$A$3:$C$8,3,TRUE())</f>
        <v>B</v>
      </c>
      <c r="O28" s="10" t="str">
        <f t="shared" si="2"/>
        <v>Pass</v>
      </c>
      <c r="P28" s="10">
        <v>75</v>
      </c>
      <c r="Q28" s="5" t="s">
        <v>54</v>
      </c>
      <c r="R28" s="5" t="str">
        <f t="shared" si="3"/>
        <v>Good</v>
      </c>
    </row>
    <row r="29" spans="1:18">
      <c r="A29" s="10" t="s">
        <v>105</v>
      </c>
      <c r="B29" s="5" t="s">
        <v>106</v>
      </c>
      <c r="C29" s="10" t="s">
        <v>29</v>
      </c>
      <c r="D29" s="10" t="s">
        <v>18</v>
      </c>
      <c r="E29" s="10" t="s">
        <v>31</v>
      </c>
      <c r="F29" s="5" t="s">
        <v>53</v>
      </c>
      <c r="G29" s="10">
        <v>81</v>
      </c>
      <c r="H29" s="10">
        <v>53</v>
      </c>
      <c r="I29" s="10">
        <v>67</v>
      </c>
      <c r="J29" s="10">
        <v>52</v>
      </c>
      <c r="K29" s="10">
        <v>94</v>
      </c>
      <c r="L29" s="10">
        <f t="shared" si="0"/>
        <v>347</v>
      </c>
      <c r="M29" s="12">
        <f t="shared" si="1"/>
        <v>69.4</v>
      </c>
      <c r="N29" s="10" t="str">
        <f>VLOOKUP(M29,Grade_Scale!$A$3:$C$8,3,TRUE())</f>
        <v>B</v>
      </c>
      <c r="O29" s="10" t="str">
        <f t="shared" si="2"/>
        <v>Pass</v>
      </c>
      <c r="P29" s="10">
        <v>74</v>
      </c>
      <c r="Q29" s="5" t="s">
        <v>50</v>
      </c>
      <c r="R29" s="5" t="str">
        <f t="shared" si="3"/>
        <v>Good</v>
      </c>
    </row>
    <row r="30" spans="1:18">
      <c r="A30" s="10" t="s">
        <v>107</v>
      </c>
      <c r="B30" s="5" t="s">
        <v>108</v>
      </c>
      <c r="C30" s="10" t="s">
        <v>28</v>
      </c>
      <c r="D30" s="10" t="s">
        <v>16</v>
      </c>
      <c r="E30" s="10" t="s">
        <v>31</v>
      </c>
      <c r="F30" s="5" t="s">
        <v>49</v>
      </c>
      <c r="G30" s="10">
        <v>90</v>
      </c>
      <c r="H30" s="10">
        <v>100</v>
      </c>
      <c r="I30" s="10">
        <v>86</v>
      </c>
      <c r="J30" s="10">
        <v>78</v>
      </c>
      <c r="K30" s="10">
        <v>88</v>
      </c>
      <c r="L30" s="10">
        <f t="shared" si="0"/>
        <v>442</v>
      </c>
      <c r="M30" s="12">
        <f t="shared" si="1"/>
        <v>88.4</v>
      </c>
      <c r="N30" s="10" t="str">
        <f>VLOOKUP(M30,Grade_Scale!$A$3:$C$8,3,TRUE())</f>
        <v>A</v>
      </c>
      <c r="O30" s="10" t="str">
        <f t="shared" si="2"/>
        <v>Pass</v>
      </c>
      <c r="P30" s="10">
        <v>72</v>
      </c>
      <c r="Q30" s="5" t="s">
        <v>54</v>
      </c>
      <c r="R30" s="5" t="str">
        <f t="shared" si="3"/>
        <v>Very Good</v>
      </c>
    </row>
    <row r="31" spans="1:18">
      <c r="A31" s="10" t="s">
        <v>109</v>
      </c>
      <c r="B31" s="5" t="s">
        <v>110</v>
      </c>
      <c r="C31" s="10" t="s">
        <v>29</v>
      </c>
      <c r="D31" s="10" t="s">
        <v>18</v>
      </c>
      <c r="E31" s="10" t="s">
        <v>25</v>
      </c>
      <c r="F31" s="5" t="s">
        <v>53</v>
      </c>
      <c r="G31" s="10">
        <v>93</v>
      </c>
      <c r="H31" s="10">
        <v>91</v>
      </c>
      <c r="I31" s="10">
        <v>37</v>
      </c>
      <c r="J31" s="10">
        <v>84</v>
      </c>
      <c r="K31" s="10">
        <v>77</v>
      </c>
      <c r="L31" s="10">
        <f t="shared" si="0"/>
        <v>382</v>
      </c>
      <c r="M31" s="12">
        <f t="shared" si="1"/>
        <v>76.4</v>
      </c>
      <c r="N31" s="10" t="str">
        <f>VLOOKUP(M31,Grade_Scale!$A$3:$C$8,3,TRUE())</f>
        <v>A</v>
      </c>
      <c r="O31" s="10" t="str">
        <f t="shared" si="2"/>
        <v>Fail</v>
      </c>
      <c r="P31" s="10">
        <v>93</v>
      </c>
      <c r="Q31" s="5" t="s">
        <v>54</v>
      </c>
      <c r="R31" s="5" t="str">
        <f t="shared" si="3"/>
        <v>Needs Improvement</v>
      </c>
    </row>
    <row r="32" spans="1:18">
      <c r="A32" s="10" t="s">
        <v>111</v>
      </c>
      <c r="B32" s="5" t="s">
        <v>112</v>
      </c>
      <c r="C32" s="10" t="s">
        <v>27</v>
      </c>
      <c r="D32" s="10" t="s">
        <v>18</v>
      </c>
      <c r="E32" s="10" t="s">
        <v>31</v>
      </c>
      <c r="F32" s="5" t="s">
        <v>49</v>
      </c>
      <c r="G32" s="10">
        <v>68</v>
      </c>
      <c r="H32" s="10">
        <v>69</v>
      </c>
      <c r="I32" s="10">
        <v>40</v>
      </c>
      <c r="J32" s="10">
        <v>58</v>
      </c>
      <c r="K32" s="10">
        <v>69</v>
      </c>
      <c r="L32" s="10">
        <f t="shared" si="0"/>
        <v>304</v>
      </c>
      <c r="M32" s="12">
        <f t="shared" si="1"/>
        <v>60.8</v>
      </c>
      <c r="N32" s="10" t="str">
        <f>VLOOKUP(M32,Grade_Scale!$A$3:$C$8,3,TRUE())</f>
        <v>B</v>
      </c>
      <c r="O32" s="10" t="str">
        <f t="shared" si="2"/>
        <v>Pass</v>
      </c>
      <c r="P32" s="10">
        <v>68</v>
      </c>
      <c r="Q32" s="5" t="s">
        <v>54</v>
      </c>
      <c r="R32" s="5" t="str">
        <f t="shared" si="3"/>
        <v>Good</v>
      </c>
    </row>
    <row r="33" spans="1:18">
      <c r="A33" s="10" t="s">
        <v>113</v>
      </c>
      <c r="B33" s="5" t="s">
        <v>114</v>
      </c>
      <c r="C33" s="10" t="s">
        <v>30</v>
      </c>
      <c r="D33" s="10" t="s">
        <v>18</v>
      </c>
      <c r="E33" s="10" t="s">
        <v>25</v>
      </c>
      <c r="F33" s="5" t="s">
        <v>53</v>
      </c>
      <c r="G33" s="10">
        <v>76</v>
      </c>
      <c r="H33" s="10">
        <v>46</v>
      </c>
      <c r="I33" s="10">
        <v>70</v>
      </c>
      <c r="J33" s="10">
        <v>42</v>
      </c>
      <c r="K33" s="10">
        <v>58</v>
      </c>
      <c r="L33" s="10">
        <f t="shared" si="0"/>
        <v>292</v>
      </c>
      <c r="M33" s="12">
        <f t="shared" si="1"/>
        <v>58.4</v>
      </c>
      <c r="N33" s="10" t="str">
        <f>VLOOKUP(M33,Grade_Scale!$A$3:$C$8,3,TRUE())</f>
        <v>C</v>
      </c>
      <c r="O33" s="10" t="str">
        <f t="shared" si="2"/>
        <v>Pass</v>
      </c>
      <c r="P33" s="10">
        <v>87</v>
      </c>
      <c r="Q33" s="5" t="s">
        <v>50</v>
      </c>
      <c r="R33" s="5" t="str">
        <f t="shared" si="3"/>
        <v>Average</v>
      </c>
    </row>
    <row r="34" spans="1:18">
      <c r="A34" s="10" t="s">
        <v>115</v>
      </c>
      <c r="B34" s="5" t="s">
        <v>116</v>
      </c>
      <c r="C34" s="10" t="s">
        <v>27</v>
      </c>
      <c r="D34" s="10" t="s">
        <v>17</v>
      </c>
      <c r="E34" s="10" t="s">
        <v>31</v>
      </c>
      <c r="F34" s="5" t="s">
        <v>53</v>
      </c>
      <c r="G34" s="10">
        <v>63</v>
      </c>
      <c r="H34" s="10">
        <v>43</v>
      </c>
      <c r="I34" s="10">
        <v>68</v>
      </c>
      <c r="J34" s="10">
        <v>50</v>
      </c>
      <c r="K34" s="10">
        <v>93</v>
      </c>
      <c r="L34" s="10">
        <f t="shared" si="0"/>
        <v>317</v>
      </c>
      <c r="M34" s="12">
        <f t="shared" si="1"/>
        <v>63.4</v>
      </c>
      <c r="N34" s="10" t="str">
        <f>VLOOKUP(M34,Grade_Scale!$A$3:$C$8,3,TRUE())</f>
        <v>B</v>
      </c>
      <c r="O34" s="10" t="str">
        <f t="shared" si="2"/>
        <v>Pass</v>
      </c>
      <c r="P34" s="10">
        <v>60</v>
      </c>
      <c r="Q34" s="5" t="s">
        <v>54</v>
      </c>
      <c r="R34" s="5" t="str">
        <f t="shared" si="3"/>
        <v>Good</v>
      </c>
    </row>
    <row r="35" spans="1:18">
      <c r="A35" s="10" t="s">
        <v>117</v>
      </c>
      <c r="B35" s="5" t="s">
        <v>118</v>
      </c>
      <c r="C35" s="10" t="s">
        <v>29</v>
      </c>
      <c r="D35" s="10" t="s">
        <v>16</v>
      </c>
      <c r="E35" s="10" t="s">
        <v>31</v>
      </c>
      <c r="F35" s="5" t="s">
        <v>49</v>
      </c>
      <c r="G35" s="10">
        <v>65</v>
      </c>
      <c r="H35" s="10">
        <v>49</v>
      </c>
      <c r="I35" s="10">
        <v>55</v>
      </c>
      <c r="J35" s="10">
        <v>68</v>
      </c>
      <c r="K35" s="10">
        <v>41</v>
      </c>
      <c r="L35" s="10">
        <f t="shared" si="0"/>
        <v>278</v>
      </c>
      <c r="M35" s="12">
        <f t="shared" si="1"/>
        <v>55.6</v>
      </c>
      <c r="N35" s="10" t="str">
        <f>VLOOKUP(M35,Grade_Scale!$A$3:$C$8,3,TRUE())</f>
        <v>C</v>
      </c>
      <c r="O35" s="10" t="str">
        <f t="shared" si="2"/>
        <v>Pass</v>
      </c>
      <c r="P35" s="10">
        <v>71</v>
      </c>
      <c r="Q35" s="5" t="s">
        <v>50</v>
      </c>
      <c r="R35" s="5" t="str">
        <f t="shared" si="3"/>
        <v>Average</v>
      </c>
    </row>
    <row r="36" spans="1:18">
      <c r="A36" s="10" t="s">
        <v>119</v>
      </c>
      <c r="B36" s="5" t="s">
        <v>120</v>
      </c>
      <c r="C36" s="10" t="s">
        <v>29</v>
      </c>
      <c r="D36" s="10" t="s">
        <v>16</v>
      </c>
      <c r="E36" s="10" t="s">
        <v>31</v>
      </c>
      <c r="F36" s="5" t="s">
        <v>57</v>
      </c>
      <c r="G36" s="10">
        <v>92</v>
      </c>
      <c r="H36" s="10">
        <v>99</v>
      </c>
      <c r="I36" s="10">
        <v>57</v>
      </c>
      <c r="J36" s="10">
        <v>69</v>
      </c>
      <c r="K36" s="10">
        <v>79</v>
      </c>
      <c r="L36" s="10">
        <f t="shared" si="0"/>
        <v>396</v>
      </c>
      <c r="M36" s="12">
        <f t="shared" si="1"/>
        <v>79.2</v>
      </c>
      <c r="N36" s="10" t="str">
        <f>VLOOKUP(M36,Grade_Scale!$A$3:$C$8,3,TRUE())</f>
        <v>A</v>
      </c>
      <c r="O36" s="10" t="str">
        <f t="shared" si="2"/>
        <v>Pass</v>
      </c>
      <c r="P36" s="10">
        <v>61</v>
      </c>
      <c r="Q36" s="5" t="s">
        <v>54</v>
      </c>
      <c r="R36" s="5" t="str">
        <f t="shared" si="3"/>
        <v>Very Good</v>
      </c>
    </row>
    <row r="37" spans="1:18">
      <c r="A37" s="10" t="s">
        <v>121</v>
      </c>
      <c r="B37" s="5" t="s">
        <v>122</v>
      </c>
      <c r="C37" s="10" t="s">
        <v>27</v>
      </c>
      <c r="D37" s="10" t="s">
        <v>16</v>
      </c>
      <c r="E37" s="10" t="s">
        <v>31</v>
      </c>
      <c r="F37" s="5" t="s">
        <v>53</v>
      </c>
      <c r="G37" s="10">
        <v>95</v>
      </c>
      <c r="H37" s="10">
        <v>66</v>
      </c>
      <c r="I37" s="10">
        <v>92</v>
      </c>
      <c r="J37" s="10">
        <v>48</v>
      </c>
      <c r="K37" s="10">
        <v>90</v>
      </c>
      <c r="L37" s="10">
        <f t="shared" si="0"/>
        <v>391</v>
      </c>
      <c r="M37" s="12">
        <f t="shared" si="1"/>
        <v>78.2</v>
      </c>
      <c r="N37" s="10" t="str">
        <f>VLOOKUP(M37,Grade_Scale!$A$3:$C$8,3,TRUE())</f>
        <v>A</v>
      </c>
      <c r="O37" s="10" t="str">
        <f t="shared" si="2"/>
        <v>Pass</v>
      </c>
      <c r="P37" s="10">
        <v>91</v>
      </c>
      <c r="Q37" s="5" t="s">
        <v>54</v>
      </c>
      <c r="R37" s="5" t="str">
        <f t="shared" si="3"/>
        <v>Very Good</v>
      </c>
    </row>
    <row r="38" spans="1:18">
      <c r="A38" s="10" t="s">
        <v>123</v>
      </c>
      <c r="B38" s="5" t="s">
        <v>124</v>
      </c>
      <c r="C38" s="10" t="s">
        <v>28</v>
      </c>
      <c r="D38" s="10" t="s">
        <v>18</v>
      </c>
      <c r="E38" s="10" t="s">
        <v>25</v>
      </c>
      <c r="F38" s="5" t="s">
        <v>49</v>
      </c>
      <c r="G38" s="10">
        <v>52</v>
      </c>
      <c r="H38" s="10">
        <v>86</v>
      </c>
      <c r="I38" s="10">
        <v>79</v>
      </c>
      <c r="J38" s="10">
        <v>41</v>
      </c>
      <c r="K38" s="10">
        <v>51</v>
      </c>
      <c r="L38" s="10">
        <f t="shared" si="0"/>
        <v>309</v>
      </c>
      <c r="M38" s="12">
        <f t="shared" si="1"/>
        <v>61.8</v>
      </c>
      <c r="N38" s="10" t="str">
        <f>VLOOKUP(M38,Grade_Scale!$A$3:$C$8,3,TRUE())</f>
        <v>B</v>
      </c>
      <c r="O38" s="10" t="str">
        <f t="shared" si="2"/>
        <v>Pass</v>
      </c>
      <c r="P38" s="10">
        <v>60</v>
      </c>
      <c r="Q38" s="5" t="s">
        <v>50</v>
      </c>
      <c r="R38" s="5" t="str">
        <f t="shared" si="3"/>
        <v>Good</v>
      </c>
    </row>
    <row r="39" spans="1:18">
      <c r="A39" s="10" t="s">
        <v>125</v>
      </c>
      <c r="B39" s="5" t="s">
        <v>126</v>
      </c>
      <c r="C39" s="10" t="s">
        <v>30</v>
      </c>
      <c r="D39" s="10" t="s">
        <v>18</v>
      </c>
      <c r="E39" s="10" t="s">
        <v>31</v>
      </c>
      <c r="F39" s="5" t="s">
        <v>49</v>
      </c>
      <c r="G39" s="10">
        <v>83</v>
      </c>
      <c r="H39" s="10">
        <v>99</v>
      </c>
      <c r="I39" s="10">
        <v>71</v>
      </c>
      <c r="J39" s="10">
        <v>66</v>
      </c>
      <c r="K39" s="10">
        <v>72</v>
      </c>
      <c r="L39" s="10">
        <f t="shared" si="0"/>
        <v>391</v>
      </c>
      <c r="M39" s="12">
        <f t="shared" si="1"/>
        <v>78.2</v>
      </c>
      <c r="N39" s="10" t="str">
        <f>VLOOKUP(M39,Grade_Scale!$A$3:$C$8,3,TRUE())</f>
        <v>A</v>
      </c>
      <c r="O39" s="10" t="str">
        <f t="shared" si="2"/>
        <v>Pass</v>
      </c>
      <c r="P39" s="10">
        <v>62</v>
      </c>
      <c r="Q39" s="5" t="s">
        <v>54</v>
      </c>
      <c r="R39" s="5" t="str">
        <f t="shared" si="3"/>
        <v>Very Good</v>
      </c>
    </row>
    <row r="40" spans="1:18">
      <c r="A40" s="10" t="s">
        <v>127</v>
      </c>
      <c r="B40" s="5" t="s">
        <v>128</v>
      </c>
      <c r="C40" s="10" t="s">
        <v>29</v>
      </c>
      <c r="D40" s="10" t="s">
        <v>17</v>
      </c>
      <c r="E40" s="10" t="s">
        <v>31</v>
      </c>
      <c r="F40" s="5" t="s">
        <v>57</v>
      </c>
      <c r="G40" s="10">
        <v>81</v>
      </c>
      <c r="H40" s="10">
        <v>77</v>
      </c>
      <c r="I40" s="10">
        <v>76</v>
      </c>
      <c r="J40" s="10">
        <v>66</v>
      </c>
      <c r="K40" s="10">
        <v>39</v>
      </c>
      <c r="L40" s="10">
        <f t="shared" si="0"/>
        <v>339</v>
      </c>
      <c r="M40" s="12">
        <f t="shared" si="1"/>
        <v>67.8</v>
      </c>
      <c r="N40" s="10" t="str">
        <f>VLOOKUP(M40,Grade_Scale!$A$3:$C$8,3,TRUE())</f>
        <v>B</v>
      </c>
      <c r="O40" s="10" t="str">
        <f t="shared" si="2"/>
        <v>Fail</v>
      </c>
      <c r="P40" s="10">
        <v>79</v>
      </c>
      <c r="Q40" s="5" t="s">
        <v>50</v>
      </c>
      <c r="R40" s="5" t="str">
        <f t="shared" si="3"/>
        <v>Needs Improvement</v>
      </c>
    </row>
    <row r="41" spans="1:18">
      <c r="A41" s="10" t="s">
        <v>129</v>
      </c>
      <c r="B41" s="5" t="s">
        <v>130</v>
      </c>
      <c r="C41" s="10" t="s">
        <v>27</v>
      </c>
      <c r="D41" s="10" t="s">
        <v>17</v>
      </c>
      <c r="E41" s="10" t="s">
        <v>25</v>
      </c>
      <c r="F41" s="5" t="s">
        <v>49</v>
      </c>
      <c r="G41" s="10">
        <v>95</v>
      </c>
      <c r="H41" s="10">
        <v>70</v>
      </c>
      <c r="I41" s="10">
        <v>99</v>
      </c>
      <c r="J41" s="10">
        <v>60</v>
      </c>
      <c r="K41" s="10">
        <v>66</v>
      </c>
      <c r="L41" s="10">
        <f t="shared" si="0"/>
        <v>390</v>
      </c>
      <c r="M41" s="12">
        <f t="shared" si="1"/>
        <v>78</v>
      </c>
      <c r="N41" s="10" t="str">
        <f>VLOOKUP(M41,Grade_Scale!$A$3:$C$8,3,TRUE())</f>
        <v>A</v>
      </c>
      <c r="O41" s="10" t="str">
        <f t="shared" si="2"/>
        <v>Pass</v>
      </c>
      <c r="P41" s="10">
        <v>92</v>
      </c>
      <c r="Q41" s="5" t="s">
        <v>50</v>
      </c>
      <c r="R41" s="5" t="str">
        <f t="shared" si="3"/>
        <v>Very Good</v>
      </c>
    </row>
    <row r="42" spans="1:18">
      <c r="A42" s="10" t="s">
        <v>131</v>
      </c>
      <c r="B42" s="5" t="s">
        <v>132</v>
      </c>
      <c r="C42" s="10" t="s">
        <v>27</v>
      </c>
      <c r="D42" s="10" t="s">
        <v>18</v>
      </c>
      <c r="E42" s="10" t="s">
        <v>25</v>
      </c>
      <c r="F42" s="5" t="s">
        <v>53</v>
      </c>
      <c r="G42" s="10">
        <v>40</v>
      </c>
      <c r="H42" s="10">
        <v>85</v>
      </c>
      <c r="I42" s="10">
        <v>37</v>
      </c>
      <c r="J42" s="10">
        <v>73</v>
      </c>
      <c r="K42" s="10">
        <v>73</v>
      </c>
      <c r="L42" s="10">
        <f t="shared" si="0"/>
        <v>308</v>
      </c>
      <c r="M42" s="12">
        <f t="shared" si="1"/>
        <v>61.6</v>
      </c>
      <c r="N42" s="10" t="str">
        <f>VLOOKUP(M42,Grade_Scale!$A$3:$C$8,3,TRUE())</f>
        <v>B</v>
      </c>
      <c r="O42" s="10" t="str">
        <f t="shared" si="2"/>
        <v>Fail</v>
      </c>
      <c r="P42" s="10">
        <v>100</v>
      </c>
      <c r="Q42" s="5" t="s">
        <v>50</v>
      </c>
      <c r="R42" s="5" t="str">
        <f t="shared" si="3"/>
        <v>Needs Improvement</v>
      </c>
    </row>
    <row r="43" spans="1:18">
      <c r="A43" s="10" t="s">
        <v>133</v>
      </c>
      <c r="B43" s="5" t="s">
        <v>134</v>
      </c>
      <c r="C43" s="10" t="s">
        <v>26</v>
      </c>
      <c r="D43" s="10" t="s">
        <v>18</v>
      </c>
      <c r="E43" s="10" t="s">
        <v>25</v>
      </c>
      <c r="F43" s="5" t="s">
        <v>57</v>
      </c>
      <c r="G43" s="10">
        <v>98</v>
      </c>
      <c r="H43" s="10">
        <v>54</v>
      </c>
      <c r="I43" s="10">
        <v>71</v>
      </c>
      <c r="J43" s="10">
        <v>53</v>
      </c>
      <c r="K43" s="10">
        <v>40</v>
      </c>
      <c r="L43" s="10">
        <f t="shared" si="0"/>
        <v>316</v>
      </c>
      <c r="M43" s="12">
        <f t="shared" si="1"/>
        <v>63.2</v>
      </c>
      <c r="N43" s="10" t="str">
        <f>VLOOKUP(M43,Grade_Scale!$A$3:$C$8,3,TRUE())</f>
        <v>B</v>
      </c>
      <c r="O43" s="10" t="str">
        <f t="shared" si="2"/>
        <v>Pass</v>
      </c>
      <c r="P43" s="10">
        <v>92</v>
      </c>
      <c r="Q43" s="5" t="s">
        <v>54</v>
      </c>
      <c r="R43" s="5" t="str">
        <f t="shared" si="3"/>
        <v>Good</v>
      </c>
    </row>
    <row r="44" spans="1:18">
      <c r="A44" s="10" t="s">
        <v>135</v>
      </c>
      <c r="B44" s="5" t="s">
        <v>136</v>
      </c>
      <c r="C44" s="10" t="s">
        <v>28</v>
      </c>
      <c r="D44" s="10" t="s">
        <v>16</v>
      </c>
      <c r="E44" s="10" t="s">
        <v>31</v>
      </c>
      <c r="F44" s="5" t="s">
        <v>53</v>
      </c>
      <c r="G44" s="10">
        <v>64</v>
      </c>
      <c r="H44" s="10">
        <v>45</v>
      </c>
      <c r="I44" s="10">
        <v>38</v>
      </c>
      <c r="J44" s="10">
        <v>40</v>
      </c>
      <c r="K44" s="10">
        <v>52</v>
      </c>
      <c r="L44" s="10">
        <f t="shared" si="0"/>
        <v>239</v>
      </c>
      <c r="M44" s="12">
        <f t="shared" si="1"/>
        <v>47.8</v>
      </c>
      <c r="N44" s="10" t="str">
        <f>VLOOKUP(M44,Grade_Scale!$A$3:$C$8,3,TRUE())</f>
        <v>D</v>
      </c>
      <c r="O44" s="10" t="str">
        <f t="shared" si="2"/>
        <v>Fail</v>
      </c>
      <c r="P44" s="10">
        <v>100</v>
      </c>
      <c r="Q44" s="5" t="s">
        <v>54</v>
      </c>
      <c r="R44" s="5" t="str">
        <f t="shared" si="3"/>
        <v>Needs Improvement</v>
      </c>
    </row>
    <row r="45" spans="1:18">
      <c r="A45" s="10" t="s">
        <v>137</v>
      </c>
      <c r="B45" s="5" t="s">
        <v>138</v>
      </c>
      <c r="C45" s="10" t="s">
        <v>30</v>
      </c>
      <c r="D45" s="10" t="s">
        <v>16</v>
      </c>
      <c r="E45" s="10" t="s">
        <v>31</v>
      </c>
      <c r="F45" s="5" t="s">
        <v>53</v>
      </c>
      <c r="G45" s="10">
        <v>37</v>
      </c>
      <c r="H45" s="10">
        <v>66</v>
      </c>
      <c r="I45" s="10">
        <v>97</v>
      </c>
      <c r="J45" s="10">
        <v>68</v>
      </c>
      <c r="K45" s="10">
        <v>35</v>
      </c>
      <c r="L45" s="10">
        <f t="shared" si="0"/>
        <v>303</v>
      </c>
      <c r="M45" s="12">
        <f t="shared" si="1"/>
        <v>60.6</v>
      </c>
      <c r="N45" s="10" t="str">
        <f>VLOOKUP(M45,Grade_Scale!$A$3:$C$8,3,TRUE())</f>
        <v>B</v>
      </c>
      <c r="O45" s="10" t="str">
        <f t="shared" si="2"/>
        <v>Fail</v>
      </c>
      <c r="P45" s="10">
        <v>89</v>
      </c>
      <c r="Q45" s="5" t="s">
        <v>50</v>
      </c>
      <c r="R45" s="5" t="str">
        <f t="shared" si="3"/>
        <v>Needs Improvement</v>
      </c>
    </row>
    <row r="46" spans="1:18">
      <c r="A46" s="10" t="s">
        <v>139</v>
      </c>
      <c r="B46" s="5" t="s">
        <v>136</v>
      </c>
      <c r="C46" s="10" t="s">
        <v>26</v>
      </c>
      <c r="D46" s="10" t="s">
        <v>18</v>
      </c>
      <c r="E46" s="10" t="s">
        <v>31</v>
      </c>
      <c r="F46" s="5" t="s">
        <v>53</v>
      </c>
      <c r="G46" s="10">
        <v>95</v>
      </c>
      <c r="H46" s="10">
        <v>67</v>
      </c>
      <c r="I46" s="10">
        <v>44</v>
      </c>
      <c r="J46" s="10">
        <v>68</v>
      </c>
      <c r="K46" s="10">
        <v>65</v>
      </c>
      <c r="L46" s="10">
        <f t="shared" si="0"/>
        <v>339</v>
      </c>
      <c r="M46" s="12">
        <f t="shared" si="1"/>
        <v>67.8</v>
      </c>
      <c r="N46" s="10" t="str">
        <f>VLOOKUP(M46,Grade_Scale!$A$3:$C$8,3,TRUE())</f>
        <v>B</v>
      </c>
      <c r="O46" s="10" t="str">
        <f t="shared" si="2"/>
        <v>Pass</v>
      </c>
      <c r="P46" s="10">
        <v>73</v>
      </c>
      <c r="Q46" s="5" t="s">
        <v>50</v>
      </c>
      <c r="R46" s="5" t="str">
        <f t="shared" si="3"/>
        <v>Good</v>
      </c>
    </row>
    <row r="47" spans="1:18">
      <c r="A47" s="10" t="s">
        <v>140</v>
      </c>
      <c r="B47" s="5" t="s">
        <v>141</v>
      </c>
      <c r="C47" s="10" t="s">
        <v>30</v>
      </c>
      <c r="D47" s="10" t="s">
        <v>17</v>
      </c>
      <c r="E47" s="10" t="s">
        <v>31</v>
      </c>
      <c r="F47" s="5" t="s">
        <v>57</v>
      </c>
      <c r="G47" s="10">
        <v>71</v>
      </c>
      <c r="H47" s="10">
        <v>40</v>
      </c>
      <c r="I47" s="10">
        <v>60</v>
      </c>
      <c r="J47" s="10">
        <v>44</v>
      </c>
      <c r="K47" s="10">
        <v>53</v>
      </c>
      <c r="L47" s="10">
        <f t="shared" si="0"/>
        <v>268</v>
      </c>
      <c r="M47" s="12">
        <f t="shared" si="1"/>
        <v>53.6</v>
      </c>
      <c r="N47" s="10" t="str">
        <f>VLOOKUP(M47,Grade_Scale!$A$3:$C$8,3,TRUE())</f>
        <v>C</v>
      </c>
      <c r="O47" s="10" t="str">
        <f t="shared" si="2"/>
        <v>Pass</v>
      </c>
      <c r="P47" s="10">
        <v>81</v>
      </c>
      <c r="Q47" s="5" t="s">
        <v>54</v>
      </c>
      <c r="R47" s="5" t="str">
        <f t="shared" si="3"/>
        <v>Average</v>
      </c>
    </row>
    <row r="48" spans="1:18">
      <c r="A48" s="10" t="s">
        <v>142</v>
      </c>
      <c r="B48" s="5" t="s">
        <v>126</v>
      </c>
      <c r="C48" s="10" t="s">
        <v>26</v>
      </c>
      <c r="D48" s="10" t="s">
        <v>16</v>
      </c>
      <c r="E48" s="10" t="s">
        <v>31</v>
      </c>
      <c r="F48" s="5" t="s">
        <v>49</v>
      </c>
      <c r="G48" s="10">
        <v>96</v>
      </c>
      <c r="H48" s="10">
        <v>42</v>
      </c>
      <c r="I48" s="10">
        <v>97</v>
      </c>
      <c r="J48" s="10">
        <v>69</v>
      </c>
      <c r="K48" s="10">
        <v>47</v>
      </c>
      <c r="L48" s="10">
        <f t="shared" si="0"/>
        <v>351</v>
      </c>
      <c r="M48" s="12">
        <f t="shared" si="1"/>
        <v>70.2</v>
      </c>
      <c r="N48" s="10" t="str">
        <f>VLOOKUP(M48,Grade_Scale!$A$3:$C$8,3,TRUE())</f>
        <v>B</v>
      </c>
      <c r="O48" s="10" t="str">
        <f t="shared" si="2"/>
        <v>Pass</v>
      </c>
      <c r="P48" s="10">
        <v>73</v>
      </c>
      <c r="Q48" s="5" t="s">
        <v>54</v>
      </c>
      <c r="R48" s="5" t="str">
        <f t="shared" si="3"/>
        <v>Good</v>
      </c>
    </row>
    <row r="49" spans="1:18">
      <c r="A49" s="10" t="s">
        <v>143</v>
      </c>
      <c r="B49" s="5" t="s">
        <v>144</v>
      </c>
      <c r="C49" s="10" t="s">
        <v>29</v>
      </c>
      <c r="D49" s="10" t="s">
        <v>17</v>
      </c>
      <c r="E49" s="10" t="s">
        <v>25</v>
      </c>
      <c r="F49" s="5" t="s">
        <v>57</v>
      </c>
      <c r="G49" s="10">
        <v>50</v>
      </c>
      <c r="H49" s="10">
        <v>60</v>
      </c>
      <c r="I49" s="10">
        <v>74</v>
      </c>
      <c r="J49" s="10">
        <v>45</v>
      </c>
      <c r="K49" s="10">
        <v>95</v>
      </c>
      <c r="L49" s="10">
        <f t="shared" si="0"/>
        <v>324</v>
      </c>
      <c r="M49" s="12">
        <f t="shared" si="1"/>
        <v>64.8</v>
      </c>
      <c r="N49" s="10" t="str">
        <f>VLOOKUP(M49,Grade_Scale!$A$3:$C$8,3,TRUE())</f>
        <v>B</v>
      </c>
      <c r="O49" s="10" t="str">
        <f t="shared" si="2"/>
        <v>Pass</v>
      </c>
      <c r="P49" s="10">
        <v>61</v>
      </c>
      <c r="Q49" s="5" t="s">
        <v>54</v>
      </c>
      <c r="R49" s="5" t="str">
        <f t="shared" si="3"/>
        <v>Good</v>
      </c>
    </row>
    <row r="50" spans="1:18">
      <c r="A50" s="10" t="s">
        <v>145</v>
      </c>
      <c r="B50" s="5" t="s">
        <v>146</v>
      </c>
      <c r="C50" s="10" t="s">
        <v>26</v>
      </c>
      <c r="D50" s="10" t="s">
        <v>17</v>
      </c>
      <c r="E50" s="10" t="s">
        <v>25</v>
      </c>
      <c r="F50" s="5" t="s">
        <v>57</v>
      </c>
      <c r="G50" s="10">
        <v>61</v>
      </c>
      <c r="H50" s="10">
        <v>61</v>
      </c>
      <c r="I50" s="10">
        <v>44</v>
      </c>
      <c r="J50" s="10">
        <v>46</v>
      </c>
      <c r="K50" s="10">
        <v>53</v>
      </c>
      <c r="L50" s="10">
        <f t="shared" si="0"/>
        <v>265</v>
      </c>
      <c r="M50" s="12">
        <f t="shared" si="1"/>
        <v>53</v>
      </c>
      <c r="N50" s="10" t="str">
        <f>VLOOKUP(M50,Grade_Scale!$A$3:$C$8,3,TRUE())</f>
        <v>C</v>
      </c>
      <c r="O50" s="10" t="str">
        <f t="shared" si="2"/>
        <v>Pass</v>
      </c>
      <c r="P50" s="10">
        <v>93</v>
      </c>
      <c r="Q50" s="5" t="s">
        <v>54</v>
      </c>
      <c r="R50" s="5" t="str">
        <f t="shared" si="3"/>
        <v>Average</v>
      </c>
    </row>
    <row r="51" spans="1:18">
      <c r="A51" s="10" t="s">
        <v>147</v>
      </c>
      <c r="B51" s="5" t="s">
        <v>130</v>
      </c>
      <c r="C51" s="10" t="s">
        <v>26</v>
      </c>
      <c r="D51" s="10" t="s">
        <v>16</v>
      </c>
      <c r="E51" s="10" t="s">
        <v>25</v>
      </c>
      <c r="F51" s="5" t="s">
        <v>49</v>
      </c>
      <c r="G51" s="10">
        <v>81</v>
      </c>
      <c r="H51" s="10">
        <v>64</v>
      </c>
      <c r="I51" s="10">
        <v>98</v>
      </c>
      <c r="J51" s="10">
        <v>97</v>
      </c>
      <c r="K51" s="10">
        <v>85</v>
      </c>
      <c r="L51" s="10">
        <f t="shared" si="0"/>
        <v>425</v>
      </c>
      <c r="M51" s="12">
        <f t="shared" si="1"/>
        <v>85</v>
      </c>
      <c r="N51" s="10" t="str">
        <f>VLOOKUP(M51,Grade_Scale!$A$3:$C$8,3,TRUE())</f>
        <v>A</v>
      </c>
      <c r="O51" s="10" t="str">
        <f t="shared" si="2"/>
        <v>Pass</v>
      </c>
      <c r="P51" s="10">
        <v>61</v>
      </c>
      <c r="Q51" s="5" t="s">
        <v>50</v>
      </c>
      <c r="R51" s="5" t="str">
        <f t="shared" si="3"/>
        <v>Very Good</v>
      </c>
    </row>
    <row r="52" spans="1:18">
      <c r="A52" s="10" t="s">
        <v>148</v>
      </c>
      <c r="B52" s="5" t="s">
        <v>149</v>
      </c>
      <c r="C52" s="10" t="s">
        <v>30</v>
      </c>
      <c r="D52" s="10" t="s">
        <v>17</v>
      </c>
      <c r="E52" s="10" t="s">
        <v>25</v>
      </c>
      <c r="F52" s="5" t="s">
        <v>53</v>
      </c>
      <c r="G52" s="10">
        <v>53</v>
      </c>
      <c r="H52" s="10">
        <v>88</v>
      </c>
      <c r="I52" s="10">
        <v>79</v>
      </c>
      <c r="J52" s="10">
        <v>83</v>
      </c>
      <c r="K52" s="10">
        <v>75</v>
      </c>
      <c r="L52" s="10">
        <f t="shared" si="0"/>
        <v>378</v>
      </c>
      <c r="M52" s="12">
        <f t="shared" si="1"/>
        <v>75.6</v>
      </c>
      <c r="N52" s="10" t="str">
        <f>VLOOKUP(M52,Grade_Scale!$A$3:$C$8,3,TRUE())</f>
        <v>A</v>
      </c>
      <c r="O52" s="10" t="str">
        <f t="shared" si="2"/>
        <v>Pass</v>
      </c>
      <c r="P52" s="10">
        <v>67</v>
      </c>
      <c r="Q52" s="5" t="s">
        <v>54</v>
      </c>
      <c r="R52" s="5" t="str">
        <f t="shared" si="3"/>
        <v>Very Good</v>
      </c>
    </row>
    <row r="53" spans="1:18">
      <c r="A53" s="10" t="s">
        <v>150</v>
      </c>
      <c r="B53" s="5" t="s">
        <v>151</v>
      </c>
      <c r="C53" s="10" t="s">
        <v>29</v>
      </c>
      <c r="D53" s="10" t="s">
        <v>17</v>
      </c>
      <c r="E53" s="10" t="s">
        <v>31</v>
      </c>
      <c r="F53" s="5" t="s">
        <v>49</v>
      </c>
      <c r="G53" s="10">
        <v>36</v>
      </c>
      <c r="H53" s="10">
        <v>72</v>
      </c>
      <c r="I53" s="10">
        <v>67</v>
      </c>
      <c r="J53" s="10">
        <v>82</v>
      </c>
      <c r="K53" s="10">
        <v>43</v>
      </c>
      <c r="L53" s="10">
        <f t="shared" si="0"/>
        <v>300</v>
      </c>
      <c r="M53" s="12">
        <f t="shared" si="1"/>
        <v>60</v>
      </c>
      <c r="N53" s="10" t="str">
        <f>VLOOKUP(M53,Grade_Scale!$A$3:$C$8,3,TRUE())</f>
        <v>B</v>
      </c>
      <c r="O53" s="10" t="str">
        <f t="shared" si="2"/>
        <v>Fail</v>
      </c>
      <c r="P53" s="10">
        <v>85</v>
      </c>
      <c r="Q53" s="5" t="s">
        <v>54</v>
      </c>
      <c r="R53" s="5" t="str">
        <f t="shared" si="3"/>
        <v>Needs Improvement</v>
      </c>
    </row>
    <row r="54" spans="1:18">
      <c r="A54" s="10" t="s">
        <v>152</v>
      </c>
      <c r="B54" s="5" t="s">
        <v>153</v>
      </c>
      <c r="C54" s="10" t="s">
        <v>27</v>
      </c>
      <c r="D54" s="10" t="s">
        <v>17</v>
      </c>
      <c r="E54" s="10" t="s">
        <v>25</v>
      </c>
      <c r="F54" s="5" t="s">
        <v>57</v>
      </c>
      <c r="G54" s="10">
        <v>41</v>
      </c>
      <c r="H54" s="10">
        <v>70</v>
      </c>
      <c r="I54" s="10">
        <v>48</v>
      </c>
      <c r="J54" s="10">
        <v>41</v>
      </c>
      <c r="K54" s="10">
        <v>71</v>
      </c>
      <c r="L54" s="10">
        <f t="shared" si="0"/>
        <v>271</v>
      </c>
      <c r="M54" s="12">
        <f t="shared" si="1"/>
        <v>54.2</v>
      </c>
      <c r="N54" s="10" t="str">
        <f>VLOOKUP(M54,Grade_Scale!$A$3:$C$8,3,TRUE())</f>
        <v>C</v>
      </c>
      <c r="O54" s="10" t="str">
        <f t="shared" si="2"/>
        <v>Pass</v>
      </c>
      <c r="P54" s="10">
        <v>100</v>
      </c>
      <c r="Q54" s="5" t="s">
        <v>50</v>
      </c>
      <c r="R54" s="5" t="str">
        <f t="shared" si="3"/>
        <v>Average</v>
      </c>
    </row>
    <row r="55" spans="1:18">
      <c r="A55" s="10" t="s">
        <v>154</v>
      </c>
      <c r="B55" s="5" t="s">
        <v>155</v>
      </c>
      <c r="C55" s="10" t="s">
        <v>30</v>
      </c>
      <c r="D55" s="10" t="s">
        <v>16</v>
      </c>
      <c r="E55" s="10" t="s">
        <v>25</v>
      </c>
      <c r="F55" s="5" t="s">
        <v>49</v>
      </c>
      <c r="G55" s="10">
        <v>82</v>
      </c>
      <c r="H55" s="10">
        <v>89</v>
      </c>
      <c r="I55" s="10">
        <v>38</v>
      </c>
      <c r="J55" s="10">
        <v>86</v>
      </c>
      <c r="K55" s="10">
        <v>61</v>
      </c>
      <c r="L55" s="10">
        <f t="shared" si="0"/>
        <v>356</v>
      </c>
      <c r="M55" s="12">
        <f t="shared" si="1"/>
        <v>71.2</v>
      </c>
      <c r="N55" s="10" t="str">
        <f>VLOOKUP(M55,Grade_Scale!$A$3:$C$8,3,TRUE())</f>
        <v>B</v>
      </c>
      <c r="O55" s="10" t="str">
        <f t="shared" si="2"/>
        <v>Fail</v>
      </c>
      <c r="P55" s="10">
        <v>65</v>
      </c>
      <c r="Q55" s="5" t="s">
        <v>50</v>
      </c>
      <c r="R55" s="5" t="str">
        <f t="shared" si="3"/>
        <v>Needs Improvement</v>
      </c>
    </row>
    <row r="56" spans="1:18">
      <c r="A56" s="10" t="s">
        <v>156</v>
      </c>
      <c r="B56" s="5" t="s">
        <v>157</v>
      </c>
      <c r="C56" s="10" t="s">
        <v>30</v>
      </c>
      <c r="D56" s="10" t="s">
        <v>16</v>
      </c>
      <c r="E56" s="10" t="s">
        <v>31</v>
      </c>
      <c r="F56" s="5" t="s">
        <v>53</v>
      </c>
      <c r="G56" s="10">
        <v>71</v>
      </c>
      <c r="H56" s="10">
        <v>97</v>
      </c>
      <c r="I56" s="10">
        <v>41</v>
      </c>
      <c r="J56" s="10">
        <v>51</v>
      </c>
      <c r="K56" s="10">
        <v>56</v>
      </c>
      <c r="L56" s="10">
        <f t="shared" si="0"/>
        <v>316</v>
      </c>
      <c r="M56" s="12">
        <f t="shared" si="1"/>
        <v>63.2</v>
      </c>
      <c r="N56" s="10" t="str">
        <f>VLOOKUP(M56,Grade_Scale!$A$3:$C$8,3,TRUE())</f>
        <v>B</v>
      </c>
      <c r="O56" s="10" t="str">
        <f t="shared" si="2"/>
        <v>Pass</v>
      </c>
      <c r="P56" s="10">
        <v>90</v>
      </c>
      <c r="Q56" s="5" t="s">
        <v>54</v>
      </c>
      <c r="R56" s="5" t="str">
        <f t="shared" si="3"/>
        <v>Good</v>
      </c>
    </row>
    <row r="57" spans="1:18">
      <c r="A57" s="10" t="s">
        <v>158</v>
      </c>
      <c r="B57" s="5" t="s">
        <v>159</v>
      </c>
      <c r="C57" s="10" t="s">
        <v>29</v>
      </c>
      <c r="D57" s="10" t="s">
        <v>17</v>
      </c>
      <c r="E57" s="10" t="s">
        <v>25</v>
      </c>
      <c r="F57" s="5" t="s">
        <v>57</v>
      </c>
      <c r="G57" s="10">
        <v>65</v>
      </c>
      <c r="H57" s="10">
        <v>73</v>
      </c>
      <c r="I57" s="10">
        <v>96</v>
      </c>
      <c r="J57" s="10">
        <v>85</v>
      </c>
      <c r="K57" s="10">
        <v>50</v>
      </c>
      <c r="L57" s="10">
        <f t="shared" si="0"/>
        <v>369</v>
      </c>
      <c r="M57" s="12">
        <f t="shared" si="1"/>
        <v>73.8</v>
      </c>
      <c r="N57" s="10" t="str">
        <f>VLOOKUP(M57,Grade_Scale!$A$3:$C$8,3,TRUE())</f>
        <v>B</v>
      </c>
      <c r="O57" s="10" t="str">
        <f t="shared" si="2"/>
        <v>Pass</v>
      </c>
      <c r="P57" s="10">
        <v>70</v>
      </c>
      <c r="Q57" s="5" t="s">
        <v>50</v>
      </c>
      <c r="R57" s="5" t="str">
        <f t="shared" si="3"/>
        <v>Good</v>
      </c>
    </row>
    <row r="58" spans="1:18">
      <c r="A58" s="10" t="s">
        <v>160</v>
      </c>
      <c r="B58" s="5" t="s">
        <v>106</v>
      </c>
      <c r="C58" s="10" t="s">
        <v>26</v>
      </c>
      <c r="D58" s="10" t="s">
        <v>17</v>
      </c>
      <c r="E58" s="10" t="s">
        <v>31</v>
      </c>
      <c r="F58" s="5" t="s">
        <v>57</v>
      </c>
      <c r="G58" s="10">
        <v>77</v>
      </c>
      <c r="H58" s="10">
        <v>92</v>
      </c>
      <c r="I58" s="10">
        <v>89</v>
      </c>
      <c r="J58" s="10">
        <v>52</v>
      </c>
      <c r="K58" s="10">
        <v>59</v>
      </c>
      <c r="L58" s="10">
        <f t="shared" si="0"/>
        <v>369</v>
      </c>
      <c r="M58" s="12">
        <f t="shared" si="1"/>
        <v>73.8</v>
      </c>
      <c r="N58" s="10" t="str">
        <f>VLOOKUP(M58,Grade_Scale!$A$3:$C$8,3,TRUE())</f>
        <v>B</v>
      </c>
      <c r="O58" s="10" t="str">
        <f t="shared" si="2"/>
        <v>Pass</v>
      </c>
      <c r="P58" s="10">
        <v>75</v>
      </c>
      <c r="Q58" s="5" t="s">
        <v>50</v>
      </c>
      <c r="R58" s="5" t="str">
        <f t="shared" si="3"/>
        <v>Good</v>
      </c>
    </row>
    <row r="59" spans="1:18">
      <c r="A59" s="10" t="s">
        <v>161</v>
      </c>
      <c r="B59" s="5" t="s">
        <v>162</v>
      </c>
      <c r="C59" s="10" t="s">
        <v>26</v>
      </c>
      <c r="D59" s="10" t="s">
        <v>18</v>
      </c>
      <c r="E59" s="10" t="s">
        <v>25</v>
      </c>
      <c r="F59" s="5" t="s">
        <v>49</v>
      </c>
      <c r="G59" s="10">
        <v>82</v>
      </c>
      <c r="H59" s="10">
        <v>68</v>
      </c>
      <c r="I59" s="10">
        <v>60</v>
      </c>
      <c r="J59" s="10">
        <v>37</v>
      </c>
      <c r="K59" s="10">
        <v>87</v>
      </c>
      <c r="L59" s="10">
        <f t="shared" si="0"/>
        <v>334</v>
      </c>
      <c r="M59" s="12">
        <f t="shared" si="1"/>
        <v>66.8</v>
      </c>
      <c r="N59" s="10" t="str">
        <f>VLOOKUP(M59,Grade_Scale!$A$3:$C$8,3,TRUE())</f>
        <v>B</v>
      </c>
      <c r="O59" s="10" t="str">
        <f t="shared" si="2"/>
        <v>Fail</v>
      </c>
      <c r="P59" s="10">
        <v>84</v>
      </c>
      <c r="Q59" s="5" t="s">
        <v>54</v>
      </c>
      <c r="R59" s="5" t="str">
        <f t="shared" si="3"/>
        <v>Needs Improvement</v>
      </c>
    </row>
    <row r="60" spans="1:18">
      <c r="A60" s="10" t="s">
        <v>163</v>
      </c>
      <c r="B60" s="5" t="s">
        <v>136</v>
      </c>
      <c r="C60" s="10" t="s">
        <v>28</v>
      </c>
      <c r="D60" s="10" t="s">
        <v>17</v>
      </c>
      <c r="E60" s="10" t="s">
        <v>25</v>
      </c>
      <c r="F60" s="5" t="s">
        <v>57</v>
      </c>
      <c r="G60" s="10">
        <v>42</v>
      </c>
      <c r="H60" s="10">
        <v>98</v>
      </c>
      <c r="I60" s="10">
        <v>70</v>
      </c>
      <c r="J60" s="10">
        <v>81</v>
      </c>
      <c r="K60" s="10">
        <v>51</v>
      </c>
      <c r="L60" s="10">
        <f t="shared" si="0"/>
        <v>342</v>
      </c>
      <c r="M60" s="12">
        <f t="shared" si="1"/>
        <v>68.4</v>
      </c>
      <c r="N60" s="10" t="str">
        <f>VLOOKUP(M60,Grade_Scale!$A$3:$C$8,3,TRUE())</f>
        <v>B</v>
      </c>
      <c r="O60" s="10" t="str">
        <f t="shared" si="2"/>
        <v>Pass</v>
      </c>
      <c r="P60" s="10">
        <v>92</v>
      </c>
      <c r="Q60" s="5" t="s">
        <v>50</v>
      </c>
      <c r="R60" s="5" t="str">
        <f t="shared" si="3"/>
        <v>Good</v>
      </c>
    </row>
    <row r="61" spans="1:18">
      <c r="A61" s="10" t="s">
        <v>164</v>
      </c>
      <c r="B61" s="5" t="s">
        <v>132</v>
      </c>
      <c r="C61" s="10" t="s">
        <v>28</v>
      </c>
      <c r="D61" s="10" t="s">
        <v>17</v>
      </c>
      <c r="E61" s="10" t="s">
        <v>25</v>
      </c>
      <c r="F61" s="5" t="s">
        <v>53</v>
      </c>
      <c r="G61" s="10">
        <v>92</v>
      </c>
      <c r="H61" s="10">
        <v>90</v>
      </c>
      <c r="I61" s="10">
        <v>74</v>
      </c>
      <c r="J61" s="10">
        <v>37</v>
      </c>
      <c r="K61" s="10">
        <v>51</v>
      </c>
      <c r="L61" s="10">
        <f t="shared" si="0"/>
        <v>344</v>
      </c>
      <c r="M61" s="12">
        <f t="shared" si="1"/>
        <v>68.8</v>
      </c>
      <c r="N61" s="10" t="str">
        <f>VLOOKUP(M61,Grade_Scale!$A$3:$C$8,3,TRUE())</f>
        <v>B</v>
      </c>
      <c r="O61" s="10" t="str">
        <f t="shared" si="2"/>
        <v>Fail</v>
      </c>
      <c r="P61" s="10">
        <v>62</v>
      </c>
      <c r="Q61" s="5" t="s">
        <v>54</v>
      </c>
      <c r="R61" s="5" t="str">
        <f t="shared" si="3"/>
        <v>Needs Improvement</v>
      </c>
    </row>
  </sheetData>
  <autoFilter xmlns:etc="http://www.wps.cn/officeDocument/2017/etCustomData" ref="A1:R61" etc:filterBottomFollowUsedRange="0">
    <extLst/>
  </autoFilter>
  <conditionalFormatting sqref="M2:M6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61">
    <cfRule type="cellIs" dxfId="0" priority="2" operator="equal">
      <formula>"Pass"</formula>
    </cfRule>
    <cfRule type="cellIs" dxfId="1" priority="3" operator="equal">
      <formula>"Fail"</formula>
    </cfRule>
  </conditionalFormatting>
  <conditionalFormatting sqref="P2:P61">
    <cfRule type="cellIs" dxfId="1" priority="6" operator="lessThan">
      <formula>75</formula>
    </cfRule>
  </conditionalFormatting>
  <conditionalFormatting sqref="Q2:Q61">
    <cfRule type="cellIs" dxfId="2" priority="4" operator="equal">
      <formula>"Pending"</formula>
    </cfRule>
  </conditionalFormatting>
  <dataValidations count="5">
    <dataValidation type="list" errorTitle="Invalid Class" error="Select a valid class (6-10)" sqref="C2:C61">
      <formula1>"6,7,8,9,10"</formula1>
    </dataValidation>
    <dataValidation type="list" errorTitle="Invalid Section" error="Select a valid section" sqref="D2:D61">
      <formula1>"A,B,C"</formula1>
    </dataValidation>
    <dataValidation type="list" sqref="E2:E61">
      <formula1>"Male,Female"</formula1>
    </dataValidation>
    <dataValidation type="list" sqref="Q2:Q61">
      <formula1>"Paid,Pending"</formula1>
    </dataValidation>
    <dataValidation type="whole" operator="between" errorTitle="Invalid Marks" error="Marks must be between 0 and 100" sqref="G2:K61">
      <formula1>0</formula1>
      <formula2>100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opLeftCell="A17" workbookViewId="0">
      <selection activeCell="A1" sqref="A1:D1"/>
    </sheetView>
  </sheetViews>
  <sheetFormatPr defaultColWidth="8.67592592592593" defaultRowHeight="14.4" outlineLevelCol="4"/>
  <cols>
    <col min="1" max="1" width="22" customWidth="1"/>
    <col min="2" max="3" width="18" customWidth="1"/>
    <col min="4" max="4" width="16" customWidth="1"/>
    <col min="5" max="5" width="18" customWidth="1"/>
  </cols>
  <sheetData>
    <row r="1" ht="21" spans="1:4">
      <c r="A1" s="1" t="s">
        <v>165</v>
      </c>
      <c r="B1" s="1"/>
      <c r="C1" s="1"/>
      <c r="D1" s="1"/>
    </row>
    <row r="3" spans="1:4">
      <c r="A3" s="4" t="s">
        <v>166</v>
      </c>
      <c r="B3" s="4"/>
    </row>
    <row r="4" ht="15.6" spans="1:4">
      <c r="A4" s="5" t="s">
        <v>167</v>
      </c>
      <c r="B4" s="6">
        <f>COUNTA(Students_Data!A2:A61)</f>
        <v>60</v>
      </c>
    </row>
    <row r="5" ht="15.6" spans="1:4">
      <c r="A5" s="5" t="s">
        <v>168</v>
      </c>
      <c r="B5" s="6">
        <f>COUNTIF(Students_Data!O2:O61,"Pass")</f>
        <v>47</v>
      </c>
    </row>
    <row r="6" ht="15.6" spans="1:4">
      <c r="A6" s="5" t="s">
        <v>169</v>
      </c>
      <c r="B6" s="6">
        <f>COUNTIF(Students_Data!O2:O61,"Fail")</f>
        <v>13</v>
      </c>
    </row>
    <row r="7" ht="15.6" spans="1:4">
      <c r="A7" s="5" t="s">
        <v>170</v>
      </c>
      <c r="B7" s="7">
        <f>AVERAGE(Students_Data!M2:M61)</f>
        <v>67.1666666666667</v>
      </c>
    </row>
    <row r="8" ht="15.6" spans="1:4">
      <c r="A8" s="5" t="s">
        <v>171</v>
      </c>
      <c r="B8" s="6">
        <f>COUNTIF(Students_Data!Q2:Q61,"Pending")</f>
        <v>33</v>
      </c>
    </row>
    <row r="9" ht="15.6" spans="1:4">
      <c r="A9" s="5" t="s">
        <v>172</v>
      </c>
      <c r="B9" s="7">
        <f>MAX(Students_Data!M2:M61)</f>
        <v>91.4</v>
      </c>
    </row>
    <row r="11" ht="15.6" spans="1:4">
      <c r="A11" s="5" t="s">
        <v>173</v>
      </c>
      <c r="B11" s="8" t="str">
        <f>INDEX(Students_Data!B2:B61,MATCH(MAX(Students_Data!M2:M61),Students_Data!M2:M61,0))</f>
        <v>Tanvi Verma</v>
      </c>
    </row>
    <row r="14" spans="1:4">
      <c r="A14" s="4" t="s">
        <v>174</v>
      </c>
      <c r="B14" s="4"/>
    </row>
    <row r="15" spans="1:4">
      <c r="A15" s="9" t="s">
        <v>12</v>
      </c>
      <c r="B15" s="9" t="s">
        <v>175</v>
      </c>
    </row>
    <row r="16" spans="1:4">
      <c r="A16" s="10" t="s">
        <v>19</v>
      </c>
      <c r="B16" s="11">
        <f>COUNTIF(Students_Data!$N$2:$N$61,A16)</f>
        <v>1</v>
      </c>
    </row>
    <row r="17" spans="1:5">
      <c r="A17" s="10" t="s">
        <v>18</v>
      </c>
      <c r="B17" s="11">
        <f>COUNTIF(Students_Data!$N$2:$N$61,A17)</f>
        <v>11</v>
      </c>
    </row>
    <row r="18" spans="1:5">
      <c r="A18" s="10" t="s">
        <v>17</v>
      </c>
      <c r="B18" s="11">
        <f>COUNTIF(Students_Data!$N$2:$N$61,A18)</f>
        <v>37</v>
      </c>
    </row>
    <row r="19" spans="1:5">
      <c r="A19" s="10" t="s">
        <v>16</v>
      </c>
      <c r="B19" s="11">
        <f>COUNTIF(Students_Data!$N$2:$N$61,A19)</f>
        <v>10</v>
      </c>
    </row>
    <row r="20" spans="1:5">
      <c r="A20" s="10" t="s">
        <v>15</v>
      </c>
      <c r="B20" s="11">
        <f>COUNTIF(Students_Data!$N$2:$N$61,A20)</f>
        <v>1</v>
      </c>
    </row>
    <row r="21" spans="1:5">
      <c r="A21" s="10" t="s">
        <v>14</v>
      </c>
      <c r="B21" s="11">
        <f>COUNTIF(Students_Data!$N$2:$N$61,A21)</f>
        <v>0</v>
      </c>
    </row>
    <row r="24" spans="1:5">
      <c r="A24" s="4" t="s">
        <v>176</v>
      </c>
      <c r="B24" s="4"/>
      <c r="C24" s="4"/>
      <c r="D24" s="4"/>
      <c r="E24" s="4"/>
    </row>
    <row r="25" spans="1:5">
      <c r="A25" s="9" t="s">
        <v>22</v>
      </c>
      <c r="B25" s="9" t="s">
        <v>167</v>
      </c>
      <c r="C25" s="9" t="s">
        <v>177</v>
      </c>
      <c r="D25" s="9" t="s">
        <v>178</v>
      </c>
      <c r="E25" s="9" t="s">
        <v>179</v>
      </c>
    </row>
    <row r="26" spans="1:5">
      <c r="A26" s="10" t="s">
        <v>27</v>
      </c>
      <c r="B26" s="10">
        <f>COUNTIF(Students_Data!$C$2:$C$61,A26)</f>
        <v>13</v>
      </c>
      <c r="C26" s="12">
        <f>AVERAGEIF(Students_Data!$C$2:$C$61,A26,Students_Data!$M$2:$M$61)</f>
        <v>64.5384615384615</v>
      </c>
      <c r="D26" s="10">
        <f>COUNTIFS(Students_Data!$C$2:$C$61,A26,Students_Data!$O$2:$O$61,"Pass")</f>
        <v>10</v>
      </c>
      <c r="E26" s="10">
        <f>SUMIF(Students_Data!$C$2:$C$61,A26,Students_Data!$L$2:$L$61)</f>
        <v>4195</v>
      </c>
    </row>
    <row r="27" spans="1:5">
      <c r="A27" s="10" t="s">
        <v>28</v>
      </c>
      <c r="B27" s="10">
        <f>COUNTIF(Students_Data!$C$2:$C$61,A27)</f>
        <v>13</v>
      </c>
      <c r="C27" s="12">
        <f>AVERAGEIF(Students_Data!$C$2:$C$61,A27,Students_Data!$M$2:$M$61)</f>
        <v>68.0769230769231</v>
      </c>
      <c r="D27" s="10">
        <f>COUNTIFS(Students_Data!$C$2:$C$61,A27,Students_Data!$O$2:$O$61,"Pass")</f>
        <v>10</v>
      </c>
      <c r="E27" s="10">
        <f>SUMIF(Students_Data!$C$2:$C$61,A27,Students_Data!$L$2:$L$61)</f>
        <v>4425</v>
      </c>
    </row>
    <row r="28" spans="1:5">
      <c r="A28" s="10" t="s">
        <v>29</v>
      </c>
      <c r="B28" s="10">
        <f>COUNTIF(Students_Data!$C$2:$C$61,A28)</f>
        <v>10</v>
      </c>
      <c r="C28" s="12">
        <f>AVERAGEIF(Students_Data!$C$2:$C$61,A28,Students_Data!$M$2:$M$61)</f>
        <v>66.32</v>
      </c>
      <c r="D28" s="10">
        <f>COUNTIFS(Students_Data!$C$2:$C$61,A28,Students_Data!$O$2:$O$61,"Pass")</f>
        <v>7</v>
      </c>
      <c r="E28" s="10">
        <f>SUMIF(Students_Data!$C$2:$C$61,A28,Students_Data!$L$2:$L$61)</f>
        <v>3316</v>
      </c>
    </row>
    <row r="29" spans="1:5">
      <c r="A29" s="10" t="s">
        <v>30</v>
      </c>
      <c r="B29" s="10">
        <f>COUNTIF(Students_Data!$C$2:$C$61,A29)</f>
        <v>12</v>
      </c>
      <c r="C29" s="12">
        <f>AVERAGEIF(Students_Data!$C$2:$C$61,A29,Students_Data!$M$2:$M$61)</f>
        <v>68.7166666666667</v>
      </c>
      <c r="D29" s="10">
        <f>COUNTIFS(Students_Data!$C$2:$C$61,A29,Students_Data!$O$2:$O$61,"Pass")</f>
        <v>10</v>
      </c>
      <c r="E29" s="10">
        <f>SUMIF(Students_Data!$C$2:$C$61,A29,Students_Data!$L$2:$L$61)</f>
        <v>4123</v>
      </c>
    </row>
    <row r="30" spans="1:5">
      <c r="A30" s="10" t="s">
        <v>26</v>
      </c>
      <c r="B30" s="10">
        <f>COUNTIF(Students_Data!$C$2:$C$61,A30)</f>
        <v>12</v>
      </c>
      <c r="C30" s="12">
        <f>AVERAGEIF(Students_Data!$C$2:$C$61,A30,Students_Data!$M$2:$M$61)</f>
        <v>68.1833333333333</v>
      </c>
      <c r="D30" s="10">
        <f>COUNTIFS(Students_Data!$C$2:$C$61,A30,Students_Data!$O$2:$O$61,"Pass")</f>
        <v>10</v>
      </c>
      <c r="E30" s="10">
        <f>SUMIF(Students_Data!$C$2:$C$61,A30,Students_Data!$L$2:$L$61)</f>
        <v>4091</v>
      </c>
    </row>
  </sheetData>
  <mergeCells count="4">
    <mergeCell ref="A1:D1"/>
    <mergeCell ref="A3:B3"/>
    <mergeCell ref="A14:B14"/>
    <mergeCell ref="A24:E2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:F1"/>
    </sheetView>
  </sheetViews>
  <sheetFormatPr defaultColWidth="8.67592592592593" defaultRowHeight="14.4" outlineLevelCol="5"/>
  <cols>
    <col min="1" max="1" width="110" customWidth="1"/>
  </cols>
  <sheetData>
    <row r="1" ht="21" spans="1:6">
      <c r="A1" s="1" t="s">
        <v>180</v>
      </c>
      <c r="B1" s="1"/>
      <c r="C1" s="1"/>
      <c r="D1" s="1"/>
      <c r="E1" s="1"/>
      <c r="F1" s="1"/>
    </row>
    <row r="3" spans="1:6">
      <c r="A3" s="2" t="s">
        <v>181</v>
      </c>
    </row>
    <row r="4" spans="1:6">
      <c r="A4" s="2" t="s">
        <v>182</v>
      </c>
    </row>
    <row r="5" spans="1:6">
      <c r="A5" s="2" t="s">
        <v>183</v>
      </c>
    </row>
    <row r="6" ht="27.6" spans="1:6">
      <c r="A6" s="2" t="s">
        <v>184</v>
      </c>
    </row>
    <row r="7" spans="1:6">
      <c r="A7" s="2" t="s">
        <v>185</v>
      </c>
    </row>
    <row r="8" spans="1:6">
      <c r="A8" s="2" t="s">
        <v>186</v>
      </c>
    </row>
    <row r="9" spans="1:6">
      <c r="A9" s="2" t="s">
        <v>187</v>
      </c>
    </row>
    <row r="10" spans="1:6">
      <c r="A10" s="2" t="s">
        <v>188</v>
      </c>
    </row>
    <row r="11" spans="1:6">
      <c r="A11" s="2" t="s">
        <v>189</v>
      </c>
    </row>
    <row r="12" spans="1:6">
      <c r="A12" s="2" t="s">
        <v>190</v>
      </c>
    </row>
    <row r="13" spans="1:6">
      <c r="A13" s="2" t="s">
        <v>191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A1:F1"/>
    </sheetView>
  </sheetViews>
  <sheetFormatPr defaultColWidth="8.67592592592593" defaultRowHeight="14.4" outlineLevelCol="5"/>
  <cols>
    <col min="1" max="1" width="130" customWidth="1"/>
  </cols>
  <sheetData>
    <row r="1" ht="21" spans="1:6">
      <c r="A1" s="1" t="s">
        <v>192</v>
      </c>
      <c r="B1" s="1"/>
      <c r="C1" s="1"/>
      <c r="D1" s="1"/>
      <c r="E1" s="1"/>
      <c r="F1" s="1"/>
    </row>
    <row r="3" ht="15" customHeight="1" spans="1:6">
      <c r="A3" s="2"/>
    </row>
    <row r="4" ht="15" customHeight="1" spans="1:6">
      <c r="A4" s="3" t="s">
        <v>193</v>
      </c>
    </row>
    <row r="5" ht="30" customHeight="1" spans="1:6">
      <c r="A5" s="2" t="s">
        <v>194</v>
      </c>
    </row>
    <row r="6" ht="15" customHeight="1" spans="1:6">
      <c r="A6" s="2"/>
    </row>
    <row r="7" ht="15" customHeight="1" spans="1:6">
      <c r="A7" s="3" t="s">
        <v>195</v>
      </c>
    </row>
    <row r="8" ht="15" customHeight="1" spans="1:6">
      <c r="A8" s="2" t="s">
        <v>196</v>
      </c>
    </row>
    <row r="9" ht="30" customHeight="1" spans="1:6">
      <c r="A9" s="2" t="s">
        <v>197</v>
      </c>
    </row>
    <row r="10" ht="30" customHeight="1" spans="1:6">
      <c r="A10" s="2" t="s">
        <v>198</v>
      </c>
    </row>
    <row r="11" ht="30" customHeight="1" spans="1:6">
      <c r="A11" s="2" t="s">
        <v>199</v>
      </c>
    </row>
    <row r="12" ht="30" customHeight="1" spans="1:6">
      <c r="A12" s="2" t="s">
        <v>200</v>
      </c>
    </row>
    <row r="13" ht="15" customHeight="1" spans="1:6">
      <c r="A13" s="2"/>
    </row>
    <row r="14" ht="15" customHeight="1" spans="1:6">
      <c r="A14" s="3" t="s">
        <v>201</v>
      </c>
    </row>
    <row r="15" ht="30" customHeight="1" spans="1:6">
      <c r="A15" s="2" t="s">
        <v>202</v>
      </c>
    </row>
    <row r="16" ht="30" customHeight="1" spans="1:6">
      <c r="A16" s="2" t="s">
        <v>203</v>
      </c>
    </row>
    <row r="17" ht="15" customHeight="1" spans="1:1">
      <c r="A17" s="2" t="s">
        <v>204</v>
      </c>
    </row>
    <row r="18" ht="30" customHeight="1" spans="1:1">
      <c r="A18" s="2" t="s">
        <v>205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Dashboard</vt:lpstr>
      <vt:lpstr>Grade_Scale</vt:lpstr>
      <vt:lpstr>pivot table</vt:lpstr>
      <vt:lpstr>Students_Data</vt:lpstr>
      <vt:lpstr>Summary</vt:lpstr>
      <vt:lpstr>Instructions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Dwivedi</cp:lastModifiedBy>
  <cp:revision>1</cp:revision>
  <dcterms:created xsi:type="dcterms:W3CDTF">2026-06-12T06:56:00Z</dcterms:created>
  <dcterms:modified xsi:type="dcterms:W3CDTF">2026-06-12T07:42:34Z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B0FCA223FF104E4F81AD06C0EF26E218_12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